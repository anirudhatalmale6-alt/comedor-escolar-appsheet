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umnes" sheetId="1" state="visible" r:id="rId3"/>
    <sheet name="Registres" sheetId="2" state="visible" r:id="rId4"/>
    <sheet name="Resum Mensual" sheetId="3" state="visible" r:id="rId5"/>
    <sheet name="Paràmetr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<sst xmlns="http://schemas.openxmlformats.org/spreadsheetml/2006/main" count="230" uniqueCount="166">
  <si>
    <t xml:space="preserve">AlumneID</t>
  </si>
  <si>
    <t xml:space="preserve">CodiQR</t>
  </si>
  <si>
    <t xml:space="preserve">Nom</t>
  </si>
  <si>
    <t xml:space="preserve">Cognoms</t>
  </si>
  <si>
    <t xml:space="preserve">CursGrup</t>
  </si>
  <si>
    <t xml:space="preserve">Actiu</t>
  </si>
  <si>
    <t xml:space="preserve">Observacions</t>
  </si>
  <si>
    <t xml:space="preserve">FAX-A7K9Q2M4</t>
  </si>
  <si>
    <t xml:space="preserve">Bayron Albeiro</t>
  </si>
  <si>
    <t xml:space="preserve">Alcázar Ramírez</t>
  </si>
  <si>
    <t xml:space="preserve">1r d'ESO - Primer d'ESO</t>
  </si>
  <si>
    <t xml:space="preserve">FAX-3ZP8L6R1</t>
  </si>
  <si>
    <t xml:space="preserve">Yerai Alejandro</t>
  </si>
  <si>
    <t xml:space="preserve">Avila Mantuano</t>
  </si>
  <si>
    <t xml:space="preserve">FAX-M9F2A7XK</t>
  </si>
  <si>
    <t xml:space="preserve">Steve Sebastian</t>
  </si>
  <si>
    <t xml:space="preserve">Cabrera Matute</t>
  </si>
  <si>
    <t xml:space="preserve">FAX-8R4QZ1T6</t>
  </si>
  <si>
    <t xml:space="preserve">Gerard</t>
  </si>
  <si>
    <t xml:space="preserve">Delgado Martínez</t>
  </si>
  <si>
    <t xml:space="preserve">FAX-L2M7A9P5</t>
  </si>
  <si>
    <t xml:space="preserve">Danna Nicole</t>
  </si>
  <si>
    <t xml:space="preserve">Encinas Chávez</t>
  </si>
  <si>
    <t xml:space="preserve">FAX-Q6X8F3R9</t>
  </si>
  <si>
    <t xml:space="preserve">Ainoa Sofia</t>
  </si>
  <si>
    <t xml:space="preserve">Falcon Garcia</t>
  </si>
  <si>
    <t xml:space="preserve">FAX-1A7ZKQ8M</t>
  </si>
  <si>
    <t xml:space="preserve">Anderson Mauricio</t>
  </si>
  <si>
    <t xml:space="preserve">Gutama Londoño</t>
  </si>
  <si>
    <t xml:space="preserve">FAX-P4F6R2X9</t>
  </si>
  <si>
    <t xml:space="preserve">Keira Daniela</t>
  </si>
  <si>
    <t xml:space="preserve">Loor Sifuentes</t>
  </si>
  <si>
    <t xml:space="preserve">FAX-ZM8A5Q1K</t>
  </si>
  <si>
    <t xml:space="preserve">Jarett Esau</t>
  </si>
  <si>
    <t xml:space="preserve">Martínez Rivera</t>
  </si>
  <si>
    <t xml:space="preserve">FAX-7X2R9F6A</t>
  </si>
  <si>
    <t xml:space="preserve">Scarlet Charlotte</t>
  </si>
  <si>
    <t xml:space="preserve">Olalla Zuñiga</t>
  </si>
  <si>
    <t xml:space="preserve">FAX-KQ1M8Z4P</t>
  </si>
  <si>
    <t xml:space="preserve">Dylan Fabricio</t>
  </si>
  <si>
    <t xml:space="preserve">Palma Velásquez</t>
  </si>
  <si>
    <t xml:space="preserve">FAX-6A9X7R2F</t>
  </si>
  <si>
    <t xml:space="preserve">Thiago Anthony</t>
  </si>
  <si>
    <t xml:space="preserve">Pereira</t>
  </si>
  <si>
    <t xml:space="preserve">FAX-5PZKQ8M1</t>
  </si>
  <si>
    <t xml:space="preserve">Iker Prince</t>
  </si>
  <si>
    <t xml:space="preserve">Rosales Egusquiza</t>
  </si>
  <si>
    <t xml:space="preserve">FAX-R8F2A6X9</t>
  </si>
  <si>
    <t xml:space="preserve">Taylor Joel</t>
  </si>
  <si>
    <t xml:space="preserve">Sipion Granda</t>
  </si>
  <si>
    <t xml:space="preserve">FAX-QM4Z7P1A</t>
  </si>
  <si>
    <t xml:space="preserve">Carla</t>
  </si>
  <si>
    <t xml:space="preserve">Bermejo Arrojo</t>
  </si>
  <si>
    <t xml:space="preserve">2n d'ESO - Segon d'ESO</t>
  </si>
  <si>
    <t xml:space="preserve">FAX-9K6RFX2M</t>
  </si>
  <si>
    <t xml:space="preserve">Franklin Xavier</t>
  </si>
  <si>
    <t xml:space="preserve">Delgado Mera</t>
  </si>
  <si>
    <t xml:space="preserve">FAX-AZ8P4Q7K</t>
  </si>
  <si>
    <t xml:space="preserve">Aroa Claudia</t>
  </si>
  <si>
    <t xml:space="preserve">FAX-2M1R9F6X</t>
  </si>
  <si>
    <t xml:space="preserve">Chloë</t>
  </si>
  <si>
    <t xml:space="preserve">Muñoz Le Mouël</t>
  </si>
  <si>
    <t xml:space="preserve">FAX-P7L3Q9A2</t>
  </si>
  <si>
    <t xml:space="preserve">Carolina Abigail</t>
  </si>
  <si>
    <t xml:space="preserve">Soto Villeda</t>
  </si>
  <si>
    <t xml:space="preserve">FAX-4XK1M8Z7</t>
  </si>
  <si>
    <t xml:space="preserve">Mauricio Emanuel</t>
  </si>
  <si>
    <t xml:space="preserve">Vega Ferigra</t>
  </si>
  <si>
    <t xml:space="preserve">FAX-R2A9T6Q5</t>
  </si>
  <si>
    <t xml:space="preserve">Niurka</t>
  </si>
  <si>
    <t xml:space="preserve">Zapata Palma</t>
  </si>
  <si>
    <t xml:space="preserve">FAX-8MZ4P1K3</t>
  </si>
  <si>
    <t xml:space="preserve">Liza Vaneza</t>
  </si>
  <si>
    <t xml:space="preserve">Arango Lourido</t>
  </si>
  <si>
    <t xml:space="preserve">3t d'ESO - Tercer d'ESO</t>
  </si>
  <si>
    <t xml:space="preserve">FAX-Q5R7X2A9</t>
  </si>
  <si>
    <t xml:space="preserve">Joelly Mileska</t>
  </si>
  <si>
    <t xml:space="preserve">Choez Flores</t>
  </si>
  <si>
    <t xml:space="preserve">FAX-K1A8F6Z4</t>
  </si>
  <si>
    <t xml:space="preserve">Luis Dacio</t>
  </si>
  <si>
    <t xml:space="preserve">Ku Barrios</t>
  </si>
  <si>
    <t xml:space="preserve">FAX-3T9Q2M7A</t>
  </si>
  <si>
    <t xml:space="preserve">Zharick Nahiara</t>
  </si>
  <si>
    <t xml:space="preserve">Ochoa Salazar</t>
  </si>
  <si>
    <t xml:space="preserve">FAX-Z7P1L6X9</t>
  </si>
  <si>
    <t xml:space="preserve">Leila Isabel</t>
  </si>
  <si>
    <t xml:space="preserve">FAX-A4F9Q3K8</t>
  </si>
  <si>
    <t xml:space="preserve">Johan Ernesto</t>
  </si>
  <si>
    <t xml:space="preserve">FAX-6R2M7Z1P</t>
  </si>
  <si>
    <t xml:space="preserve">Hannah Marina</t>
  </si>
  <si>
    <t xml:space="preserve">Ramirez Asmat</t>
  </si>
  <si>
    <t xml:space="preserve">FAX-P9X3A6Q4</t>
  </si>
  <si>
    <t xml:space="preserve">Sara</t>
  </si>
  <si>
    <t xml:space="preserve">Zaitouni Agzaou</t>
  </si>
  <si>
    <t xml:space="preserve">FAX-M2K7F1Z8</t>
  </si>
  <si>
    <t xml:space="preserve">Francesca Sofía</t>
  </si>
  <si>
    <t xml:space="preserve">4t d'ESO - Quart d'ESO</t>
  </si>
  <si>
    <t xml:space="preserve">FAX-7Q4P9X2A</t>
  </si>
  <si>
    <t xml:space="preserve">Anabella</t>
  </si>
  <si>
    <t xml:space="preserve">Rodríguez Coveña</t>
  </si>
  <si>
    <t xml:space="preserve">RegistreID</t>
  </si>
  <si>
    <t xml:space="preserve">Timestamp</t>
  </si>
  <si>
    <t xml:space="preserve">Data</t>
  </si>
  <si>
    <t xml:space="preserve">Hora</t>
  </si>
  <si>
    <t xml:space="preserve">Resultat</t>
  </si>
  <si>
    <t xml:space="preserve">RESUM MENSUAL D'ASSISTÈNCIA — Canvia el mes i any a les cel·les C2 i E2</t>
  </si>
  <si>
    <t xml:space="preserve">MES:</t>
  </si>
  <si>
    <t xml:space="preserve">ANY:</t>
  </si>
  <si>
    <t xml:space="preserve">ID</t>
  </si>
  <si>
    <t xml:space="preserve">Alumne</t>
  </si>
  <si>
    <t xml:space="preserve">Curs</t>
  </si>
  <si>
    <t xml:space="preserve">TOTAL</t>
  </si>
  <si>
    <t xml:space="preserve">Bayron Albeiro Alcázar Ramírez</t>
  </si>
  <si>
    <t xml:space="preserve">1r ESO</t>
  </si>
  <si>
    <t xml:space="preserve">Yerai Alejandro Avila Mantuano</t>
  </si>
  <si>
    <t xml:space="preserve">Steve Sebastian Cabrera Matute</t>
  </si>
  <si>
    <t xml:space="preserve">Gerard Delgado Martínez</t>
  </si>
  <si>
    <t xml:space="preserve">Danna Nicole Encinas Chávez</t>
  </si>
  <si>
    <t xml:space="preserve">Ainoa Sofia Falcon Garcia</t>
  </si>
  <si>
    <t xml:space="preserve">Anderson Mauricio Gutama Londoño</t>
  </si>
  <si>
    <t xml:space="preserve">Keira Daniela Loor Sifuentes</t>
  </si>
  <si>
    <t xml:space="preserve">Jarett Esau Martínez Rivera</t>
  </si>
  <si>
    <t xml:space="preserve">Scarlet Charlotte Olalla Zuñiga</t>
  </si>
  <si>
    <t xml:space="preserve">Dylan Fabricio Palma Velásquez</t>
  </si>
  <si>
    <t xml:space="preserve">Thiago Anthony Pereira</t>
  </si>
  <si>
    <t xml:space="preserve">Iker Prince Rosales Egusquiza</t>
  </si>
  <si>
    <t xml:space="preserve">Taylor Joel Sipion Granda</t>
  </si>
  <si>
    <t xml:space="preserve">Carla Bermejo Arrojo</t>
  </si>
  <si>
    <t xml:space="preserve">2n ESO</t>
  </si>
  <si>
    <t xml:space="preserve">Franklin Xavier Delgado Mera</t>
  </si>
  <si>
    <t xml:space="preserve">Aroa Claudia Falcon Garcia</t>
  </si>
  <si>
    <t xml:space="preserve">Chloë Muñoz Le Mouël</t>
  </si>
  <si>
    <t xml:space="preserve">Carolina Abigail Soto Villeda</t>
  </si>
  <si>
    <t xml:space="preserve">Mauricio Emanuel Vega Ferigra</t>
  </si>
  <si>
    <t xml:space="preserve">Niurka Zapata Palma</t>
  </si>
  <si>
    <t xml:space="preserve">Liza Vaneza Arango Lourido</t>
  </si>
  <si>
    <t xml:space="preserve">3t ESO</t>
  </si>
  <si>
    <t xml:space="preserve">Joelly Mileska Choez Flores</t>
  </si>
  <si>
    <t xml:space="preserve">Luis Dacio Ku Barrios</t>
  </si>
  <si>
    <t xml:space="preserve">Zharick Nahiara Ochoa Salazar</t>
  </si>
  <si>
    <t xml:space="preserve">Leila Isabel Olalla Zuñiga</t>
  </si>
  <si>
    <t xml:space="preserve">Johan Ernesto Palma Velásquez</t>
  </si>
  <si>
    <t xml:space="preserve">Hannah Marina Ramirez Asmat</t>
  </si>
  <si>
    <t xml:space="preserve">Sara Zaitouni Agzaou</t>
  </si>
  <si>
    <t xml:space="preserve">Francesca Sofía Delgado Mera</t>
  </si>
  <si>
    <t xml:space="preserve">4t ESO</t>
  </si>
  <si>
    <t xml:space="preserve">Anabella Rodríguez Coveña</t>
  </si>
  <si>
    <t xml:space="preserve">TOTAL ALUMNES/DIA</t>
  </si>
  <si>
    <t xml:space="preserve">Paràmetre</t>
  </si>
  <si>
    <t xml:space="preserve">Valor</t>
  </si>
  <si>
    <t xml:space="preserve">Descripció</t>
  </si>
  <si>
    <t xml:space="preserve">HoraInici</t>
  </si>
  <si>
    <t xml:space="preserve">13:00</t>
  </si>
  <si>
    <t xml:space="preserve">Hora d'inici del servei de menjador</t>
  </si>
  <si>
    <t xml:space="preserve">HoraFi</t>
  </si>
  <si>
    <t xml:space="preserve">14:30</t>
  </si>
  <si>
    <t xml:space="preserve">Hora de fi del servei de menjador</t>
  </si>
  <si>
    <t xml:space="preserve">PermitirDuplicats</t>
  </si>
  <si>
    <t xml:space="preserve">FALS</t>
  </si>
  <si>
    <t xml:space="preserve">Permetre registrar el mateix alumne dues vegades el mateix dia</t>
  </si>
  <si>
    <t xml:space="preserve">NomTerminal</t>
  </si>
  <si>
    <t xml:space="preserve">Entrada</t>
  </si>
  <si>
    <t xml:space="preserve">Nom del dispositiu/terminal d'escanneig</t>
  </si>
  <si>
    <t xml:space="preserve">CursEscolar</t>
  </si>
  <si>
    <t xml:space="preserve">2025-2026</t>
  </si>
  <si>
    <t xml:space="preserve">Curs escolar actiu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</si>
</sst>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2"/>
      <color rgb="FF009688"/>
      <name val="Cambria"/>
      <family val="0"/>
      <charset val="1"/>
    </font>
    <font>
      <b val="true"/>
      <sz val="11"/>
      <color rgb="FF00796B"/>
      <name val="Cambria"/>
      <family val="0"/>
      <charset val="1"/>
    </font>
    <font>
      <b val="true"/>
      <sz val="14"/>
      <color rgb="FF0000FF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sz val="8"/>
      <color rgb="FF999999"/>
      <name val="Cambria"/>
      <family val="0"/>
      <charset val="1"/>
    </font>
    <font>
      <b val="true"/>
      <sz val="9"/>
      <name val="Cambria"/>
      <family val="0"/>
      <charset val="1"/>
    </font>
    <font>
      <sz val="9"/>
      <name val="Cambria"/>
      <family val="0"/>
      <charset val="1"/>
    </font>
    <font>
      <sz val="10"/>
      <name val="Cambria"/>
      <family val="0"/>
      <charset val="1"/>
    </font>
    <font>
      <b val="true"/>
      <sz val="10"/>
      <color rgb="FF00796B"/>
      <name val="Cambria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09688"/>
        <bgColor rgb="FF00796B"/>
      </patternFill>
    </fill>
    <fill>
      <patternFill patternType="solid">
        <fgColor rgb="FFE0F2F1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FF9800"/>
        <bgColor rgb="FFFFCC00"/>
      </patternFill>
    </fill>
    <fill>
      <patternFill patternType="solid">
        <fgColor rgb="FFFFF9C4"/>
        <bgColor rgb="FFFFFF99"/>
      </patternFill>
    </fill>
    <fill>
      <patternFill patternType="solid">
        <fgColor rgb="FF00796B"/>
        <bgColor rgb="FF009688"/>
      </patternFill>
    </fill>
    <fill>
      <patternFill patternType="solid">
        <fgColor rgb="FFFF5722"/>
        <bgColor rgb="FFFF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796B"/>
      <rgbColor rgb="FFC0C0C0"/>
      <rgbColor rgb="FF808080"/>
      <rgbColor rgb="FF9999FF"/>
      <rgbColor rgb="FF993366"/>
      <rgbColor rgb="FFFFF9C4"/>
      <rgbColor rgb="FFE0F2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9688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800"/>
      <rgbColor rgb="FFFF5722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6"/>
    <col collapsed="false" customWidth="true" hidden="false" outlineLevel="0" max="3" min="3" style="1" width="20"/>
    <col collapsed="false" customWidth="true" hidden="false" outlineLevel="0" max="4" min="4" style="1" width="22"/>
    <col collapsed="false" customWidth="true" hidden="false" outlineLevel="0" max="5" min="5" style="1" width="28"/>
    <col collapsed="false" customWidth="true" hidden="false" outlineLevel="0" max="6" min="6" style="1" width="8"/>
    <col collapsed="false" customWidth="true" hidden="false" outlineLevel="0" max="7" min="7" style="1" width="18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true" outlineLevel="0" collapsed="false">
      <c r="A2" s="3" t="n">
        <v>1</v>
      </c>
      <c r="B2" s="4" t="s">
        <v>7</v>
      </c>
      <c r="C2" s="4" t="s">
        <v>8</v>
      </c>
      <c r="D2" s="4" t="s">
        <v>9</v>
      </c>
      <c r="E2" s="4" t="s">
        <v>10</v>
      </c>
      <c r="F2" s="5" t="b">
        <f aca="false">TRUE()</f>
        <v>1</v>
      </c>
      <c r="G2" s="4"/>
    </row>
    <row r="3" customFormat="false" ht="15" hidden="false" customHeight="true" outlineLevel="0" collapsed="false">
      <c r="A3" s="6" t="n">
        <v>2</v>
      </c>
      <c r="B3" s="7" t="s">
        <v>11</v>
      </c>
      <c r="C3" s="7" t="s">
        <v>12</v>
      </c>
      <c r="D3" s="7" t="s">
        <v>13</v>
      </c>
      <c r="E3" s="7" t="s">
        <v>10</v>
      </c>
      <c r="F3" s="8" t="b">
        <f aca="false">TRUE()</f>
        <v>1</v>
      </c>
      <c r="G3" s="7"/>
    </row>
    <row r="4" customFormat="false" ht="15" hidden="false" customHeight="true" outlineLevel="0" collapsed="false">
      <c r="A4" s="3" t="n">
        <v>3</v>
      </c>
      <c r="B4" s="4" t="s">
        <v>14</v>
      </c>
      <c r="C4" s="4" t="s">
        <v>15</v>
      </c>
      <c r="D4" s="4" t="s">
        <v>16</v>
      </c>
      <c r="E4" s="4" t="s">
        <v>10</v>
      </c>
      <c r="F4" s="5" t="b">
        <f aca="false">TRUE()</f>
        <v>1</v>
      </c>
      <c r="G4" s="4"/>
    </row>
    <row r="5" customFormat="false" ht="15" hidden="false" customHeight="true" outlineLevel="0" collapsed="false">
      <c r="A5" s="6" t="n">
        <v>4</v>
      </c>
      <c r="B5" s="7" t="s">
        <v>17</v>
      </c>
      <c r="C5" s="7" t="s">
        <v>18</v>
      </c>
      <c r="D5" s="7" t="s">
        <v>19</v>
      </c>
      <c r="E5" s="7" t="s">
        <v>10</v>
      </c>
      <c r="F5" s="8" t="b">
        <f aca="false">TRUE()</f>
        <v>1</v>
      </c>
      <c r="G5" s="7"/>
    </row>
    <row r="6" customFormat="false" ht="15" hidden="false" customHeight="true" outlineLevel="0" collapsed="false">
      <c r="A6" s="3" t="n">
        <v>5</v>
      </c>
      <c r="B6" s="4" t="s">
        <v>20</v>
      </c>
      <c r="C6" s="4" t="s">
        <v>21</v>
      </c>
      <c r="D6" s="4" t="s">
        <v>22</v>
      </c>
      <c r="E6" s="4" t="s">
        <v>10</v>
      </c>
      <c r="F6" s="5" t="b">
        <f aca="false">TRUE()</f>
        <v>1</v>
      </c>
      <c r="G6" s="4"/>
    </row>
    <row r="7" customFormat="false" ht="15" hidden="false" customHeight="true" outlineLevel="0" collapsed="false">
      <c r="A7" s="6" t="n">
        <v>6</v>
      </c>
      <c r="B7" s="7" t="s">
        <v>23</v>
      </c>
      <c r="C7" s="7" t="s">
        <v>24</v>
      </c>
      <c r="D7" s="7" t="s">
        <v>25</v>
      </c>
      <c r="E7" s="7" t="s">
        <v>10</v>
      </c>
      <c r="F7" s="8" t="b">
        <f aca="false">TRUE()</f>
        <v>1</v>
      </c>
      <c r="G7" s="7"/>
    </row>
    <row r="8" customFormat="false" ht="15" hidden="false" customHeight="true" outlineLevel="0" collapsed="false">
      <c r="A8" s="3" t="n">
        <v>7</v>
      </c>
      <c r="B8" s="4" t="s">
        <v>26</v>
      </c>
      <c r="C8" s="4" t="s">
        <v>27</v>
      </c>
      <c r="D8" s="4" t="s">
        <v>28</v>
      </c>
      <c r="E8" s="4" t="s">
        <v>10</v>
      </c>
      <c r="F8" s="5" t="b">
        <f aca="false">TRUE()</f>
        <v>1</v>
      </c>
      <c r="G8" s="4"/>
    </row>
    <row r="9" customFormat="false" ht="15" hidden="false" customHeight="true" outlineLevel="0" collapsed="false">
      <c r="A9" s="6" t="n">
        <v>8</v>
      </c>
      <c r="B9" s="7" t="s">
        <v>29</v>
      </c>
      <c r="C9" s="7" t="s">
        <v>30</v>
      </c>
      <c r="D9" s="7" t="s">
        <v>31</v>
      </c>
      <c r="E9" s="7" t="s">
        <v>10</v>
      </c>
      <c r="F9" s="8" t="b">
        <f aca="false">TRUE()</f>
        <v>1</v>
      </c>
      <c r="G9" s="7"/>
    </row>
    <row r="10" customFormat="false" ht="15" hidden="false" customHeight="true" outlineLevel="0" collapsed="false">
      <c r="A10" s="3" t="n">
        <v>9</v>
      </c>
      <c r="B10" s="4" t="s">
        <v>32</v>
      </c>
      <c r="C10" s="4" t="s">
        <v>33</v>
      </c>
      <c r="D10" s="4" t="s">
        <v>34</v>
      </c>
      <c r="E10" s="4" t="s">
        <v>10</v>
      </c>
      <c r="F10" s="5" t="b">
        <f aca="false">TRUE()</f>
        <v>1</v>
      </c>
      <c r="G10" s="4"/>
    </row>
    <row r="11" customFormat="false" ht="15" hidden="false" customHeight="true" outlineLevel="0" collapsed="false">
      <c r="A11" s="6" t="n">
        <v>10</v>
      </c>
      <c r="B11" s="7" t="s">
        <v>35</v>
      </c>
      <c r="C11" s="7" t="s">
        <v>36</v>
      </c>
      <c r="D11" s="7" t="s">
        <v>37</v>
      </c>
      <c r="E11" s="7" t="s">
        <v>10</v>
      </c>
      <c r="F11" s="8" t="b">
        <f aca="false">TRUE()</f>
        <v>1</v>
      </c>
      <c r="G11" s="7"/>
    </row>
    <row r="12" customFormat="false" ht="15" hidden="false" customHeight="true" outlineLevel="0" collapsed="false">
      <c r="A12" s="3" t="n">
        <v>11</v>
      </c>
      <c r="B12" s="4" t="s">
        <v>38</v>
      </c>
      <c r="C12" s="4" t="s">
        <v>39</v>
      </c>
      <c r="D12" s="4" t="s">
        <v>40</v>
      </c>
      <c r="E12" s="4" t="s">
        <v>10</v>
      </c>
      <c r="F12" s="5" t="b">
        <f aca="false">TRUE()</f>
        <v>1</v>
      </c>
      <c r="G12" s="4"/>
    </row>
    <row r="13" customFormat="false" ht="15" hidden="false" customHeight="true" outlineLevel="0" collapsed="false">
      <c r="A13" s="6" t="n">
        <v>12</v>
      </c>
      <c r="B13" s="7" t="s">
        <v>41</v>
      </c>
      <c r="C13" s="7" t="s">
        <v>42</v>
      </c>
      <c r="D13" s="7" t="s">
        <v>43</v>
      </c>
      <c r="E13" s="7" t="s">
        <v>10</v>
      </c>
      <c r="F13" s="8" t="b">
        <f aca="false">TRUE()</f>
        <v>1</v>
      </c>
      <c r="G13" s="7"/>
    </row>
    <row r="14" customFormat="false" ht="15" hidden="false" customHeight="true" outlineLevel="0" collapsed="false">
      <c r="A14" s="3" t="n">
        <v>13</v>
      </c>
      <c r="B14" s="4" t="s">
        <v>44</v>
      </c>
      <c r="C14" s="4" t="s">
        <v>45</v>
      </c>
      <c r="D14" s="4" t="s">
        <v>46</v>
      </c>
      <c r="E14" s="4" t="s">
        <v>10</v>
      </c>
      <c r="F14" s="5" t="b">
        <f aca="false">TRUE()</f>
        <v>1</v>
      </c>
      <c r="G14" s="4"/>
    </row>
    <row r="15" customFormat="false" ht="15" hidden="false" customHeight="true" outlineLevel="0" collapsed="false">
      <c r="A15" s="6" t="n">
        <v>14</v>
      </c>
      <c r="B15" s="7" t="s">
        <v>47</v>
      </c>
      <c r="C15" s="7" t="s">
        <v>48</v>
      </c>
      <c r="D15" s="7" t="s">
        <v>49</v>
      </c>
      <c r="E15" s="7" t="s">
        <v>10</v>
      </c>
      <c r="F15" s="8" t="b">
        <f aca="false">TRUE()</f>
        <v>1</v>
      </c>
      <c r="G15" s="7"/>
    </row>
    <row r="16" customFormat="false" ht="15" hidden="false" customHeight="true" outlineLevel="0" collapsed="false">
      <c r="A16" s="3" t="n">
        <v>15</v>
      </c>
      <c r="B16" s="4" t="s">
        <v>50</v>
      </c>
      <c r="C16" s="4" t="s">
        <v>51</v>
      </c>
      <c r="D16" s="4" t="s">
        <v>52</v>
      </c>
      <c r="E16" s="4" t="s">
        <v>53</v>
      </c>
      <c r="F16" s="5" t="b">
        <f aca="false">TRUE()</f>
        <v>1</v>
      </c>
      <c r="G16" s="4"/>
    </row>
    <row r="17" customFormat="false" ht="15" hidden="false" customHeight="true" outlineLevel="0" collapsed="false">
      <c r="A17" s="6" t="n">
        <v>16</v>
      </c>
      <c r="B17" s="7" t="s">
        <v>54</v>
      </c>
      <c r="C17" s="7" t="s">
        <v>55</v>
      </c>
      <c r="D17" s="7" t="s">
        <v>56</v>
      </c>
      <c r="E17" s="7" t="s">
        <v>53</v>
      </c>
      <c r="F17" s="8" t="b">
        <f aca="false">TRUE()</f>
        <v>1</v>
      </c>
      <c r="G17" s="7"/>
    </row>
    <row r="18" customFormat="false" ht="15" hidden="false" customHeight="true" outlineLevel="0" collapsed="false">
      <c r="A18" s="3" t="n">
        <v>17</v>
      </c>
      <c r="B18" s="4" t="s">
        <v>57</v>
      </c>
      <c r="C18" s="4" t="s">
        <v>58</v>
      </c>
      <c r="D18" s="4" t="s">
        <v>25</v>
      </c>
      <c r="E18" s="4" t="s">
        <v>53</v>
      </c>
      <c r="F18" s="5" t="b">
        <f aca="false">TRUE()</f>
        <v>1</v>
      </c>
      <c r="G18" s="4"/>
    </row>
    <row r="19" customFormat="false" ht="15" hidden="false" customHeight="true" outlineLevel="0" collapsed="false">
      <c r="A19" s="6" t="n">
        <v>18</v>
      </c>
      <c r="B19" s="7" t="s">
        <v>59</v>
      </c>
      <c r="C19" s="7" t="s">
        <v>60</v>
      </c>
      <c r="D19" s="7" t="s">
        <v>61</v>
      </c>
      <c r="E19" s="7" t="s">
        <v>53</v>
      </c>
      <c r="F19" s="8" t="b">
        <f aca="false">TRUE()</f>
        <v>1</v>
      </c>
      <c r="G19" s="7"/>
    </row>
    <row r="20" customFormat="false" ht="15" hidden="false" customHeight="true" outlineLevel="0" collapsed="false">
      <c r="A20" s="3" t="n">
        <v>19</v>
      </c>
      <c r="B20" s="4" t="s">
        <v>62</v>
      </c>
      <c r="C20" s="4" t="s">
        <v>63</v>
      </c>
      <c r="D20" s="4" t="s">
        <v>64</v>
      </c>
      <c r="E20" s="4" t="s">
        <v>53</v>
      </c>
      <c r="F20" s="5" t="b">
        <f aca="false">TRUE()</f>
        <v>1</v>
      </c>
      <c r="G20" s="4"/>
    </row>
    <row r="21" customFormat="false" ht="15" hidden="false" customHeight="true" outlineLevel="0" collapsed="false">
      <c r="A21" s="6" t="n">
        <v>20</v>
      </c>
      <c r="B21" s="7" t="s">
        <v>65</v>
      </c>
      <c r="C21" s="7" t="s">
        <v>66</v>
      </c>
      <c r="D21" s="7" t="s">
        <v>67</v>
      </c>
      <c r="E21" s="7" t="s">
        <v>53</v>
      </c>
      <c r="F21" s="8" t="b">
        <f aca="false">TRUE()</f>
        <v>1</v>
      </c>
      <c r="G21" s="7"/>
    </row>
    <row r="22" customFormat="false" ht="15" hidden="false" customHeight="true" outlineLevel="0" collapsed="false">
      <c r="A22" s="3" t="n">
        <v>21</v>
      </c>
      <c r="B22" s="4" t="s">
        <v>68</v>
      </c>
      <c r="C22" s="4" t="s">
        <v>69</v>
      </c>
      <c r="D22" s="4" t="s">
        <v>70</v>
      </c>
      <c r="E22" s="4" t="s">
        <v>53</v>
      </c>
      <c r="F22" s="5" t="b">
        <f aca="false">TRUE()</f>
        <v>1</v>
      </c>
      <c r="G22" s="4"/>
    </row>
    <row r="23" customFormat="false" ht="15" hidden="false" customHeight="true" outlineLevel="0" collapsed="false">
      <c r="A23" s="6" t="n">
        <v>22</v>
      </c>
      <c r="B23" s="7" t="s">
        <v>71</v>
      </c>
      <c r="C23" s="7" t="s">
        <v>72</v>
      </c>
      <c r="D23" s="7" t="s">
        <v>73</v>
      </c>
      <c r="E23" s="7" t="s">
        <v>74</v>
      </c>
      <c r="F23" s="8" t="b">
        <f aca="false">TRUE()</f>
        <v>1</v>
      </c>
      <c r="G23" s="7"/>
    </row>
    <row r="24" customFormat="false" ht="15" hidden="false" customHeight="true" outlineLevel="0" collapsed="false">
      <c r="A24" s="3" t="n">
        <v>23</v>
      </c>
      <c r="B24" s="4" t="s">
        <v>75</v>
      </c>
      <c r="C24" s="4" t="s">
        <v>76</v>
      </c>
      <c r="D24" s="4" t="s">
        <v>77</v>
      </c>
      <c r="E24" s="4" t="s">
        <v>74</v>
      </c>
      <c r="F24" s="5" t="b">
        <f aca="false">TRUE()</f>
        <v>1</v>
      </c>
      <c r="G24" s="4"/>
    </row>
    <row r="25" customFormat="false" ht="15" hidden="false" customHeight="true" outlineLevel="0" collapsed="false">
      <c r="A25" s="6" t="n">
        <v>24</v>
      </c>
      <c r="B25" s="7" t="s">
        <v>78</v>
      </c>
      <c r="C25" s="7" t="s">
        <v>79</v>
      </c>
      <c r="D25" s="7" t="s">
        <v>80</v>
      </c>
      <c r="E25" s="7" t="s">
        <v>74</v>
      </c>
      <c r="F25" s="8" t="b">
        <f aca="false">TRUE()</f>
        <v>1</v>
      </c>
      <c r="G25" s="7"/>
    </row>
    <row r="26" customFormat="false" ht="15" hidden="false" customHeight="true" outlineLevel="0" collapsed="false">
      <c r="A26" s="3" t="n">
        <v>25</v>
      </c>
      <c r="B26" s="4" t="s">
        <v>81</v>
      </c>
      <c r="C26" s="4" t="s">
        <v>82</v>
      </c>
      <c r="D26" s="4" t="s">
        <v>83</v>
      </c>
      <c r="E26" s="4" t="s">
        <v>74</v>
      </c>
      <c r="F26" s="5" t="b">
        <f aca="false">TRUE()</f>
        <v>1</v>
      </c>
      <c r="G26" s="4"/>
    </row>
    <row r="27" customFormat="false" ht="15" hidden="false" customHeight="true" outlineLevel="0" collapsed="false">
      <c r="A27" s="6" t="n">
        <v>26</v>
      </c>
      <c r="B27" s="7" t="s">
        <v>84</v>
      </c>
      <c r="C27" s="7" t="s">
        <v>85</v>
      </c>
      <c r="D27" s="7" t="s">
        <v>37</v>
      </c>
      <c r="E27" s="7" t="s">
        <v>74</v>
      </c>
      <c r="F27" s="8" t="b">
        <f aca="false">TRUE()</f>
        <v>1</v>
      </c>
      <c r="G27" s="7"/>
    </row>
    <row r="28" customFormat="false" ht="15" hidden="false" customHeight="true" outlineLevel="0" collapsed="false">
      <c r="A28" s="3" t="n">
        <v>27</v>
      </c>
      <c r="B28" s="4" t="s">
        <v>86</v>
      </c>
      <c r="C28" s="4" t="s">
        <v>87</v>
      </c>
      <c r="D28" s="4" t="s">
        <v>40</v>
      </c>
      <c r="E28" s="4" t="s">
        <v>74</v>
      </c>
      <c r="F28" s="5" t="b">
        <f aca="false">TRUE()</f>
        <v>1</v>
      </c>
      <c r="G28" s="4"/>
    </row>
    <row r="29" customFormat="false" ht="15" hidden="false" customHeight="true" outlineLevel="0" collapsed="false">
      <c r="A29" s="6" t="n">
        <v>28</v>
      </c>
      <c r="B29" s="7" t="s">
        <v>88</v>
      </c>
      <c r="C29" s="7" t="s">
        <v>89</v>
      </c>
      <c r="D29" s="7" t="s">
        <v>90</v>
      </c>
      <c r="E29" s="7" t="s">
        <v>74</v>
      </c>
      <c r="F29" s="8" t="b">
        <f aca="false">TRUE()</f>
        <v>1</v>
      </c>
      <c r="G29" s="7"/>
    </row>
    <row r="30" customFormat="false" ht="15" hidden="false" customHeight="true" outlineLevel="0" collapsed="false">
      <c r="A30" s="3" t="n">
        <v>29</v>
      </c>
      <c r="B30" s="4" t="s">
        <v>91</v>
      </c>
      <c r="C30" s="4" t="s">
        <v>92</v>
      </c>
      <c r="D30" s="4" t="s">
        <v>93</v>
      </c>
      <c r="E30" s="4" t="s">
        <v>74</v>
      </c>
      <c r="F30" s="5" t="b">
        <f aca="false">TRUE()</f>
        <v>1</v>
      </c>
      <c r="G30" s="4"/>
    </row>
    <row r="31" customFormat="false" ht="15" hidden="false" customHeight="true" outlineLevel="0" collapsed="false">
      <c r="A31" s="6" t="n">
        <v>30</v>
      </c>
      <c r="B31" s="7" t="s">
        <v>94</v>
      </c>
      <c r="C31" s="7" t="s">
        <v>95</v>
      </c>
      <c r="D31" s="7" t="s">
        <v>56</v>
      </c>
      <c r="E31" s="7" t="s">
        <v>96</v>
      </c>
      <c r="F31" s="8" t="b">
        <f aca="false">TRUE()</f>
        <v>1</v>
      </c>
      <c r="G31" s="7"/>
    </row>
    <row r="32" customFormat="false" ht="15" hidden="false" customHeight="true" outlineLevel="0" collapsed="false">
      <c r="A32" s="3" t="n">
        <v>31</v>
      </c>
      <c r="B32" s="4" t="s">
        <v>97</v>
      </c>
      <c r="C32" s="4" t="s">
        <v>98</v>
      </c>
      <c r="D32" s="4" t="s">
        <v>99</v>
      </c>
      <c r="E32" s="4" t="s">
        <v>96</v>
      </c>
      <c r="F32" s="5" t="b">
        <f aca="false">TRUE()</f>
        <v>1</v>
      </c>
      <c r="G32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2"/>
    <col collapsed="false" customWidth="true" hidden="false" outlineLevel="0" max="7" min="3" style="1" width="16"/>
    <col collapsed="false" customWidth="true" hidden="false" outlineLevel="0" max="8" min="8" style="1" width="22"/>
    <col collapsed="false" customWidth="true" hidden="false" outlineLevel="0" max="9" min="9" style="1" width="28"/>
    <col collapsed="false" customWidth="true" hidden="false" outlineLevel="0" max="11" min="10" style="1" width="16"/>
  </cols>
  <sheetData>
    <row r="1" customFormat="false" ht="15" hidden="false" customHeight="true" outlineLevel="0" collapsed="false">
      <c r="A1" s="2" t="s">
        <v>100</v>
      </c>
      <c r="B1" s="2" t="s">
        <v>101</v>
      </c>
      <c r="C1" s="2" t="s">
        <v>102</v>
      </c>
      <c r="D1" s="2" t="s">
        <v>103</v>
      </c>
      <c r="E1" s="2" t="s">
        <v>1</v>
      </c>
      <c r="F1" s="2" t="s">
        <v>0</v>
      </c>
      <c r="G1" s="2" t="s">
        <v>2</v>
      </c>
      <c r="H1" s="2" t="s">
        <v>3</v>
      </c>
      <c r="I1" s="2" t="s">
        <v>4</v>
      </c>
      <c r="J1" s="2" t="s">
        <v>104</v>
      </c>
      <c r="K1" s="2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8"/>
    <col collapsed="false" customWidth="true" hidden="false" outlineLevel="0" max="34" min="4" style="0" width="4"/>
    <col collapsed="false" customWidth="true" hidden="false" outlineLevel="0" max="35" min="35" style="0" width="7"/>
  </cols>
  <sheetData>
    <row r="1" customFormat="false" ht="15" hidden="false" customHeight="false" outlineLevel="0" collapsed="false">
      <c r="A1" s="9" t="s">
        <v>105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</row>
    <row r="2" customFormat="false" ht="17.9" hidden="false" customHeight="false" outlineLevel="0" collapsed="false">
      <c r="A2" s="10" t="s">
        <v>106</v>
      </c>
      <c r="C2" s="11" t="n">
        <v>3</v>
      </c>
      <c r="D2" s="10" t="s">
        <v>107</v>
      </c>
      <c r="E2" s="11" t="n">
        <v>2026</v>
      </c>
    </row>
    <row r="4" customFormat="false" ht="15" hidden="false" customHeight="false" outlineLevel="0" collapsed="false">
      <c r="A4" s="12" t="s">
        <v>108</v>
      </c>
      <c r="B4" s="12" t="s">
        <v>109</v>
      </c>
      <c r="C4" s="12" t="s">
        <v>110</v>
      </c>
      <c r="D4" s="12" t="n">
        <v>1</v>
      </c>
      <c r="E4" s="12" t="n">
        <v>2</v>
      </c>
      <c r="F4" s="12" t="n">
        <v>3</v>
      </c>
      <c r="G4" s="12" t="n">
        <v>4</v>
      </c>
      <c r="H4" s="12" t="n">
        <v>5</v>
      </c>
      <c r="I4" s="12" t="n">
        <v>6</v>
      </c>
      <c r="J4" s="12" t="n">
        <v>7</v>
      </c>
      <c r="K4" s="12" t="n">
        <v>8</v>
      </c>
      <c r="L4" s="12" t="n">
        <v>9</v>
      </c>
      <c r="M4" s="12" t="n">
        <v>10</v>
      </c>
      <c r="N4" s="12" t="n">
        <v>11</v>
      </c>
      <c r="O4" s="12" t="n">
        <v>12</v>
      </c>
      <c r="P4" s="12" t="n">
        <v>13</v>
      </c>
      <c r="Q4" s="12" t="n">
        <v>14</v>
      </c>
      <c r="R4" s="12" t="n">
        <v>15</v>
      </c>
      <c r="S4" s="12" t="n">
        <v>16</v>
      </c>
      <c r="T4" s="12" t="n">
        <v>17</v>
      </c>
      <c r="U4" s="12" t="n">
        <v>18</v>
      </c>
      <c r="V4" s="12" t="n">
        <v>19</v>
      </c>
      <c r="W4" s="12" t="n">
        <v>20</v>
      </c>
      <c r="X4" s="12" t="n">
        <v>21</v>
      </c>
      <c r="Y4" s="12" t="n">
        <v>22</v>
      </c>
      <c r="Z4" s="12" t="n">
        <v>23</v>
      </c>
      <c r="AA4" s="12" t="n">
        <v>24</v>
      </c>
      <c r="AB4" s="12" t="n">
        <v>25</v>
      </c>
      <c r="AC4" s="12" t="n">
        <v>26</v>
      </c>
      <c r="AD4" s="12" t="n">
        <v>27</v>
      </c>
      <c r="AE4" s="12" t="n">
        <v>28</v>
      </c>
      <c r="AF4" s="12" t="n">
        <v>29</v>
      </c>
      <c r="AG4" s="12" t="n">
        <v>30</v>
      </c>
      <c r="AH4" s="12" t="n">
        <v>31</v>
      </c>
      <c r="AI4" s="13" t="s">
        <v>111</v>
      </c>
    </row>
    <row r="5" customFormat="false" ht="15" hidden="false" customHeight="false" outlineLevel="0" collapsed="false">
      <c r="A5" s="14" t="n">
        <v>1</v>
      </c>
      <c r="B5" s="15" t="s">
        <v>112</v>
      </c>
      <c r="C5" s="16" t="s">
        <v>113</v>
      </c>
      <c r="D5" s="17" t="str">
        <f aca="false">IF(1&lt;=DAY(EOMONTH(DATE($E$2,$C$2,1),0)),IF(SUMPRODUCT((DAY(Registres!C$2:C$500)=1)*(MONTH(Registres!C$2:C$500)=$C$2)*(YEAR(Registres!C$2:C$500)=$E$2)*(TEXT(Registres!F$2:F$500,"0")=TEXT($A5,"0")))&gt;0,"✓",""),"")</f>
        <v/>
      </c>
      <c r="E5" s="17" t="str">
        <f aca="false">IF(2&lt;=DAY(EOMONTH(DATE($E$2,$C$2,1),0)),IF(SUMPRODUCT((DAY(Registres!C$2:C$500)=2)*(MONTH(Registres!C$2:C$500)=$C$2)*(YEAR(Registres!C$2:C$500)=$E$2)*(TEXT(Registres!F$2:F$500,"0")=TEXT($A5,"0")))&gt;0,"✓",""),"")</f>
        <v/>
      </c>
      <c r="F5" s="17" t="str">
        <f aca="false">IF(3&lt;=DAY(EOMONTH(DATE($E$2,$C$2,1),0)),IF(SUMPRODUCT((DAY(Registres!C$2:C$500)=3)*(MONTH(Registres!C$2:C$500)=$C$2)*(YEAR(Registres!C$2:C$500)=$E$2)*(TEXT(Registres!F$2:F$500,"0")=TEXT($A5,"0")))&gt;0,"✓",""),"")</f>
        <v/>
      </c>
      <c r="G5" s="17" t="str">
        <f aca="false">IF(4&lt;=DAY(EOMONTH(DATE($E$2,$C$2,1),0)),IF(SUMPRODUCT((DAY(Registres!C$2:C$500)=4)*(MONTH(Registres!C$2:C$500)=$C$2)*(YEAR(Registres!C$2:C$500)=$E$2)*(TEXT(Registres!F$2:F$500,"0")=TEXT($A5,"0")))&gt;0,"✓",""),"")</f>
        <v/>
      </c>
      <c r="H5" s="17" t="str">
        <f aca="false">IF(5&lt;=DAY(EOMONTH(DATE($E$2,$C$2,1),0)),IF(SUMPRODUCT((DAY(Registres!C$2:C$500)=5)*(MONTH(Registres!C$2:C$500)=$C$2)*(YEAR(Registres!C$2:C$500)=$E$2)*(TEXT(Registres!F$2:F$500,"0")=TEXT($A5,"0")))&gt;0,"✓",""),"")</f>
        <v/>
      </c>
      <c r="I5" s="17" t="str">
        <f aca="false">IF(6&lt;=DAY(EOMONTH(DATE($E$2,$C$2,1),0)),IF(SUMPRODUCT((DAY(Registres!C$2:C$500)=6)*(MONTH(Registres!C$2:C$500)=$C$2)*(YEAR(Registres!C$2:C$500)=$E$2)*(TEXT(Registres!F$2:F$500,"0")=TEXT($A5,"0")))&gt;0,"✓",""),"")</f>
        <v/>
      </c>
      <c r="J5" s="17" t="str">
        <f aca="false">IF(7&lt;=DAY(EOMONTH(DATE($E$2,$C$2,1),0)),IF(SUMPRODUCT((DAY(Registres!C$2:C$500)=7)*(MONTH(Registres!C$2:C$500)=$C$2)*(YEAR(Registres!C$2:C$500)=$E$2)*(TEXT(Registres!F$2:F$500,"0")=TEXT($A5,"0")))&gt;0,"✓",""),"")</f>
        <v/>
      </c>
      <c r="K5" s="17" t="str">
        <f aca="false">IF(8&lt;=DAY(EOMONTH(DATE($E$2,$C$2,1),0)),IF(SUMPRODUCT((DAY(Registres!C$2:C$500)=8)*(MONTH(Registres!C$2:C$500)=$C$2)*(YEAR(Registres!C$2:C$500)=$E$2)*(TEXT(Registres!F$2:F$500,"0")=TEXT($A5,"0")))&gt;0,"✓",""),"")</f>
        <v/>
      </c>
      <c r="L5" s="17" t="str">
        <f aca="false">IF(9&lt;=DAY(EOMONTH(DATE($E$2,$C$2,1),0)),IF(SUMPRODUCT((DAY(Registres!C$2:C$500)=9)*(MONTH(Registres!C$2:C$500)=$C$2)*(YEAR(Registres!C$2:C$500)=$E$2)*(TEXT(Registres!F$2:F$500,"0")=TEXT($A5,"0")))&gt;0,"✓",""),"")</f>
        <v/>
      </c>
      <c r="M5" s="17" t="str">
        <f aca="false">IF(10&lt;=DAY(EOMONTH(DATE($E$2,$C$2,1),0)),IF(SUMPRODUCT((DAY(Registres!C$2:C$500)=10)*(MONTH(Registres!C$2:C$500)=$C$2)*(YEAR(Registres!C$2:C$500)=$E$2)*(TEXT(Registres!F$2:F$500,"0")=TEXT($A5,"0")))&gt;0,"✓",""),"")</f>
        <v/>
      </c>
      <c r="N5" s="17" t="str">
        <f aca="false">IF(11&lt;=DAY(EOMONTH(DATE($E$2,$C$2,1),0)),IF(SUMPRODUCT((DAY(Registres!C$2:C$500)=11)*(MONTH(Registres!C$2:C$500)=$C$2)*(YEAR(Registres!C$2:C$500)=$E$2)*(TEXT(Registres!F$2:F$500,"0")=TEXT($A5,"0")))&gt;0,"✓",""),"")</f>
        <v/>
      </c>
      <c r="O5" s="17" t="str">
        <f aca="false">IF(12&lt;=DAY(EOMONTH(DATE($E$2,$C$2,1),0)),IF(SUMPRODUCT((DAY(Registres!C$2:C$500)=12)*(MONTH(Registres!C$2:C$500)=$C$2)*(YEAR(Registres!C$2:C$500)=$E$2)*(TEXT(Registres!F$2:F$500,"0")=TEXT($A5,"0")))&gt;0,"✓",""),"")</f>
        <v/>
      </c>
      <c r="P5" s="17" t="str">
        <f aca="false">IF(13&lt;=DAY(EOMONTH(DATE($E$2,$C$2,1),0)),IF(SUMPRODUCT((DAY(Registres!C$2:C$500)=13)*(MONTH(Registres!C$2:C$500)=$C$2)*(YEAR(Registres!C$2:C$500)=$E$2)*(TEXT(Registres!F$2:F$500,"0")=TEXT($A5,"0")))&gt;0,"✓",""),"")</f>
        <v/>
      </c>
      <c r="Q5" s="17" t="str">
        <f aca="false">IF(14&lt;=DAY(EOMONTH(DATE($E$2,$C$2,1),0)),IF(SUMPRODUCT((DAY(Registres!C$2:C$500)=14)*(MONTH(Registres!C$2:C$500)=$C$2)*(YEAR(Registres!C$2:C$500)=$E$2)*(TEXT(Registres!F$2:F$500,"0")=TEXT($A5,"0")))&gt;0,"✓",""),"")</f>
        <v/>
      </c>
      <c r="R5" s="17" t="str">
        <f aca="false">IF(15&lt;=DAY(EOMONTH(DATE($E$2,$C$2,1),0)),IF(SUMPRODUCT((DAY(Registres!C$2:C$500)=15)*(MONTH(Registres!C$2:C$500)=$C$2)*(YEAR(Registres!C$2:C$500)=$E$2)*(TEXT(Registres!F$2:F$500,"0")=TEXT($A5,"0")))&gt;0,"✓",""),"")</f>
        <v/>
      </c>
      <c r="S5" s="17" t="str">
        <f aca="false">IF(16&lt;=DAY(EOMONTH(DATE($E$2,$C$2,1),0)),IF(SUMPRODUCT((DAY(Registres!C$2:C$500)=16)*(MONTH(Registres!C$2:C$500)=$C$2)*(YEAR(Registres!C$2:C$500)=$E$2)*(TEXT(Registres!F$2:F$500,"0")=TEXT($A5,"0")))&gt;0,"✓",""),"")</f>
        <v/>
      </c>
      <c r="T5" s="17" t="str">
        <f aca="false">IF(17&lt;=DAY(EOMONTH(DATE($E$2,$C$2,1),0)),IF(SUMPRODUCT((DAY(Registres!C$2:C$500)=17)*(MONTH(Registres!C$2:C$500)=$C$2)*(YEAR(Registres!C$2:C$500)=$E$2)*(TEXT(Registres!F$2:F$500,"0")=TEXT($A5,"0")))&gt;0,"✓",""),"")</f>
        <v/>
      </c>
      <c r="U5" s="17" t="str">
        <f aca="false">IF(18&lt;=DAY(EOMONTH(DATE($E$2,$C$2,1),0)),IF(SUMPRODUCT((DAY(Registres!C$2:C$500)=18)*(MONTH(Registres!C$2:C$500)=$C$2)*(YEAR(Registres!C$2:C$500)=$E$2)*(TEXT(Registres!F$2:F$500,"0")=TEXT($A5,"0")))&gt;0,"✓",""),"")</f>
        <v/>
      </c>
      <c r="V5" s="17" t="str">
        <f aca="false">IF(19&lt;=DAY(EOMONTH(DATE($E$2,$C$2,1),0)),IF(SUMPRODUCT((DAY(Registres!C$2:C$500)=19)*(MONTH(Registres!C$2:C$500)=$C$2)*(YEAR(Registres!C$2:C$500)=$E$2)*(TEXT(Registres!F$2:F$500,"0")=TEXT($A5,"0")))&gt;0,"✓",""),"")</f>
        <v/>
      </c>
      <c r="W5" s="17" t="str">
        <f aca="false">IF(20&lt;=DAY(EOMONTH(DATE($E$2,$C$2,1),0)),IF(SUMPRODUCT((DAY(Registres!C$2:C$500)=20)*(MONTH(Registres!C$2:C$500)=$C$2)*(YEAR(Registres!C$2:C$500)=$E$2)*(TEXT(Registres!F$2:F$500,"0")=TEXT($A5,"0")))&gt;0,"✓",""),"")</f>
        <v/>
      </c>
      <c r="X5" s="17" t="str">
        <f aca="false">IF(21&lt;=DAY(EOMONTH(DATE($E$2,$C$2,1),0)),IF(SUMPRODUCT((DAY(Registres!C$2:C$500)=21)*(MONTH(Registres!C$2:C$500)=$C$2)*(YEAR(Registres!C$2:C$500)=$E$2)*(TEXT(Registres!F$2:F$500,"0")=TEXT($A5,"0")))&gt;0,"✓",""),"")</f>
        <v/>
      </c>
      <c r="Y5" s="17" t="str">
        <f aca="false">IF(22&lt;=DAY(EOMONTH(DATE($E$2,$C$2,1),0)),IF(SUMPRODUCT((DAY(Registres!C$2:C$500)=22)*(MONTH(Registres!C$2:C$500)=$C$2)*(YEAR(Registres!C$2:C$500)=$E$2)*(TEXT(Registres!F$2:F$500,"0")=TEXT($A5,"0")))&gt;0,"✓",""),"")</f>
        <v/>
      </c>
      <c r="Z5" s="17" t="str">
        <f aca="false">IF(23&lt;=DAY(EOMONTH(DATE($E$2,$C$2,1),0)),IF(SUMPRODUCT((DAY(Registres!C$2:C$500)=23)*(MONTH(Registres!C$2:C$500)=$C$2)*(YEAR(Registres!C$2:C$500)=$E$2)*(TEXT(Registres!F$2:F$500,"0")=TEXT($A5,"0")))&gt;0,"✓",""),"")</f>
        <v/>
      </c>
      <c r="AA5" s="17" t="str">
        <f aca="false">IF(24&lt;=DAY(EOMONTH(DATE($E$2,$C$2,1),0)),IF(SUMPRODUCT((DAY(Registres!C$2:C$500)=24)*(MONTH(Registres!C$2:C$500)=$C$2)*(YEAR(Registres!C$2:C$500)=$E$2)*(TEXT(Registres!F$2:F$500,"0")=TEXT($A5,"0")))&gt;0,"✓",""),"")</f>
        <v/>
      </c>
      <c r="AB5" s="17" t="str">
        <f aca="false">IF(25&lt;=DAY(EOMONTH(DATE($E$2,$C$2,1),0)),IF(SUMPRODUCT((DAY(Registres!C$2:C$500)=25)*(MONTH(Registres!C$2:C$500)=$C$2)*(YEAR(Registres!C$2:C$500)=$E$2)*(TEXT(Registres!F$2:F$500,"0")=TEXT($A5,"0")))&gt;0,"✓",""),"")</f>
        <v/>
      </c>
      <c r="AC5" s="17" t="str">
        <f aca="false">IF(26&lt;=DAY(EOMONTH(DATE($E$2,$C$2,1),0)),IF(SUMPRODUCT((DAY(Registres!C$2:C$500)=26)*(MONTH(Registres!C$2:C$500)=$C$2)*(YEAR(Registres!C$2:C$500)=$E$2)*(TEXT(Registres!F$2:F$500,"0")=TEXT($A5,"0")))&gt;0,"✓",""),"")</f>
        <v/>
      </c>
      <c r="AD5" s="17" t="str">
        <f aca="false">IF(27&lt;=DAY(EOMONTH(DATE($E$2,$C$2,1),0)),IF(SUMPRODUCT((DAY(Registres!C$2:C$500)=27)*(MONTH(Registres!C$2:C$500)=$C$2)*(YEAR(Registres!C$2:C$500)=$E$2)*(TEXT(Registres!F$2:F$500,"0")=TEXT($A5,"0")))&gt;0,"✓",""),"")</f>
        <v/>
      </c>
      <c r="AE5" s="17" t="str">
        <f aca="false">IF(28&lt;=DAY(EOMONTH(DATE($E$2,$C$2,1),0)),IF(SUMPRODUCT((DAY(Registres!C$2:C$500)=28)*(MONTH(Registres!C$2:C$500)=$C$2)*(YEAR(Registres!C$2:C$500)=$E$2)*(TEXT(Registres!F$2:F$500,"0")=TEXT($A5,"0")))&gt;0,"✓",""),"")</f>
        <v/>
      </c>
      <c r="AF5" s="17" t="str">
        <f aca="false">IF(29&lt;=DAY(EOMONTH(DATE($E$2,$C$2,1),0)),IF(SUMPRODUCT((DAY(Registres!C$2:C$500)=29)*(MONTH(Registres!C$2:C$500)=$C$2)*(YEAR(Registres!C$2:C$500)=$E$2)*(TEXT(Registres!F$2:F$500,"0")=TEXT($A5,"0")))&gt;0,"✓",""),"")</f>
        <v/>
      </c>
      <c r="AG5" s="17" t="str">
        <f aca="false">IF(30&lt;=DAY(EOMONTH(DATE($E$2,$C$2,1),0)),IF(SUMPRODUCT((DAY(Registres!C$2:C$500)=30)*(MONTH(Registres!C$2:C$500)=$C$2)*(YEAR(Registres!C$2:C$500)=$E$2)*(TEXT(Registres!F$2:F$500,"0")=TEXT($A5,"0")))&gt;0,"✓",""),"")</f>
        <v/>
      </c>
      <c r="AH5" s="17" t="str">
        <f aca="false">IF(31&lt;=DAY(EOMONTH(DATE($E$2,$C$2,1),0)),IF(SUMPRODUCT((DAY(Registres!C$2:C$500)=31)*(MONTH(Registres!C$2:C$500)=$C$2)*(YEAR(Registres!C$2:C$500)=$E$2)*(TEXT(Registres!F$2:F$500,"0")=TEXT($A5,"0")))&gt;0,"✓",""),"")</f>
        <v/>
      </c>
      <c r="AI5" s="18" t="n">
        <f aca="false">COUNTIF(D5:AH5,"✓")</f>
        <v>0</v>
      </c>
    </row>
    <row r="6" customFormat="false" ht="15" hidden="false" customHeight="false" outlineLevel="0" collapsed="false">
      <c r="A6" s="19" t="n">
        <v>2</v>
      </c>
      <c r="B6" s="20" t="s">
        <v>114</v>
      </c>
      <c r="C6" s="21" t="s">
        <v>113</v>
      </c>
      <c r="D6" s="17" t="str">
        <f aca="false">IF(1&lt;=DAY(EOMONTH(DATE($E$2,$C$2,1),0)),IF(SUMPRODUCT((DAY(Registres!C$2:C$500)=1)*(MONTH(Registres!C$2:C$500)=$C$2)*(YEAR(Registres!C$2:C$500)=$E$2)*(TEXT(Registres!F$2:F$500,"0")=TEXT($A6,"0")))&gt;0,"✓",""),"")</f>
        <v/>
      </c>
      <c r="E6" s="17" t="str">
        <f aca="false">IF(2&lt;=DAY(EOMONTH(DATE($E$2,$C$2,1),0)),IF(SUMPRODUCT((DAY(Registres!C$2:C$500)=2)*(MONTH(Registres!C$2:C$500)=$C$2)*(YEAR(Registres!C$2:C$500)=$E$2)*(TEXT(Registres!F$2:F$500,"0")=TEXT($A6,"0")))&gt;0,"✓",""),"")</f>
        <v/>
      </c>
      <c r="F6" s="17" t="str">
        <f aca="false">IF(3&lt;=DAY(EOMONTH(DATE($E$2,$C$2,1),0)),IF(SUMPRODUCT((DAY(Registres!C$2:C$500)=3)*(MONTH(Registres!C$2:C$500)=$C$2)*(YEAR(Registres!C$2:C$500)=$E$2)*(TEXT(Registres!F$2:F$500,"0")=TEXT($A6,"0")))&gt;0,"✓",""),"")</f>
        <v/>
      </c>
      <c r="G6" s="17" t="str">
        <f aca="false">IF(4&lt;=DAY(EOMONTH(DATE($E$2,$C$2,1),0)),IF(SUMPRODUCT((DAY(Registres!C$2:C$500)=4)*(MONTH(Registres!C$2:C$500)=$C$2)*(YEAR(Registres!C$2:C$500)=$E$2)*(TEXT(Registres!F$2:F$500,"0")=TEXT($A6,"0")))&gt;0,"✓",""),"")</f>
        <v/>
      </c>
      <c r="H6" s="17" t="str">
        <f aca="false">IF(5&lt;=DAY(EOMONTH(DATE($E$2,$C$2,1),0)),IF(SUMPRODUCT((DAY(Registres!C$2:C$500)=5)*(MONTH(Registres!C$2:C$500)=$C$2)*(YEAR(Registres!C$2:C$500)=$E$2)*(TEXT(Registres!F$2:F$500,"0")=TEXT($A6,"0")))&gt;0,"✓",""),"")</f>
        <v/>
      </c>
      <c r="I6" s="17" t="str">
        <f aca="false">IF(6&lt;=DAY(EOMONTH(DATE($E$2,$C$2,1),0)),IF(SUMPRODUCT((DAY(Registres!C$2:C$500)=6)*(MONTH(Registres!C$2:C$500)=$C$2)*(YEAR(Registres!C$2:C$500)=$E$2)*(TEXT(Registres!F$2:F$500,"0")=TEXT($A6,"0")))&gt;0,"✓",""),"")</f>
        <v/>
      </c>
      <c r="J6" s="17" t="str">
        <f aca="false">IF(7&lt;=DAY(EOMONTH(DATE($E$2,$C$2,1),0)),IF(SUMPRODUCT((DAY(Registres!C$2:C$500)=7)*(MONTH(Registres!C$2:C$500)=$C$2)*(YEAR(Registres!C$2:C$500)=$E$2)*(TEXT(Registres!F$2:F$500,"0")=TEXT($A6,"0")))&gt;0,"✓",""),"")</f>
        <v/>
      </c>
      <c r="K6" s="17" t="str">
        <f aca="false">IF(8&lt;=DAY(EOMONTH(DATE($E$2,$C$2,1),0)),IF(SUMPRODUCT((DAY(Registres!C$2:C$500)=8)*(MONTH(Registres!C$2:C$500)=$C$2)*(YEAR(Registres!C$2:C$500)=$E$2)*(TEXT(Registres!F$2:F$500,"0")=TEXT($A6,"0")))&gt;0,"✓",""),"")</f>
        <v/>
      </c>
      <c r="L6" s="17" t="str">
        <f aca="false">IF(9&lt;=DAY(EOMONTH(DATE($E$2,$C$2,1),0)),IF(SUMPRODUCT((DAY(Registres!C$2:C$500)=9)*(MONTH(Registres!C$2:C$500)=$C$2)*(YEAR(Registres!C$2:C$500)=$E$2)*(TEXT(Registres!F$2:F$500,"0")=TEXT($A6,"0")))&gt;0,"✓",""),"")</f>
        <v/>
      </c>
      <c r="M6" s="17" t="str">
        <f aca="false">IF(10&lt;=DAY(EOMONTH(DATE($E$2,$C$2,1),0)),IF(SUMPRODUCT((DAY(Registres!C$2:C$500)=10)*(MONTH(Registres!C$2:C$500)=$C$2)*(YEAR(Registres!C$2:C$500)=$E$2)*(TEXT(Registres!F$2:F$500,"0")=TEXT($A6,"0")))&gt;0,"✓",""),"")</f>
        <v/>
      </c>
      <c r="N6" s="17" t="str">
        <f aca="false">IF(11&lt;=DAY(EOMONTH(DATE($E$2,$C$2,1),0)),IF(SUMPRODUCT((DAY(Registres!C$2:C$500)=11)*(MONTH(Registres!C$2:C$500)=$C$2)*(YEAR(Registres!C$2:C$500)=$E$2)*(TEXT(Registres!F$2:F$500,"0")=TEXT($A6,"0")))&gt;0,"✓",""),"")</f>
        <v/>
      </c>
      <c r="O6" s="17" t="str">
        <f aca="false">IF(12&lt;=DAY(EOMONTH(DATE($E$2,$C$2,1),0)),IF(SUMPRODUCT((DAY(Registres!C$2:C$500)=12)*(MONTH(Registres!C$2:C$500)=$C$2)*(YEAR(Registres!C$2:C$500)=$E$2)*(TEXT(Registres!F$2:F$500,"0")=TEXT($A6,"0")))&gt;0,"✓",""),"")</f>
        <v/>
      </c>
      <c r="P6" s="17" t="str">
        <f aca="false">IF(13&lt;=DAY(EOMONTH(DATE($E$2,$C$2,1),0)),IF(SUMPRODUCT((DAY(Registres!C$2:C$500)=13)*(MONTH(Registres!C$2:C$500)=$C$2)*(YEAR(Registres!C$2:C$500)=$E$2)*(TEXT(Registres!F$2:F$500,"0")=TEXT($A6,"0")))&gt;0,"✓",""),"")</f>
        <v/>
      </c>
      <c r="Q6" s="17" t="str">
        <f aca="false">IF(14&lt;=DAY(EOMONTH(DATE($E$2,$C$2,1),0)),IF(SUMPRODUCT((DAY(Registres!C$2:C$500)=14)*(MONTH(Registres!C$2:C$500)=$C$2)*(YEAR(Registres!C$2:C$500)=$E$2)*(TEXT(Registres!F$2:F$500,"0")=TEXT($A6,"0")))&gt;0,"✓",""),"")</f>
        <v/>
      </c>
      <c r="R6" s="17" t="str">
        <f aca="false">IF(15&lt;=DAY(EOMONTH(DATE($E$2,$C$2,1),0)),IF(SUMPRODUCT((DAY(Registres!C$2:C$500)=15)*(MONTH(Registres!C$2:C$500)=$C$2)*(YEAR(Registres!C$2:C$500)=$E$2)*(TEXT(Registres!F$2:F$500,"0")=TEXT($A6,"0")))&gt;0,"✓",""),"")</f>
        <v/>
      </c>
      <c r="S6" s="17" t="str">
        <f aca="false">IF(16&lt;=DAY(EOMONTH(DATE($E$2,$C$2,1),0)),IF(SUMPRODUCT((DAY(Registres!C$2:C$500)=16)*(MONTH(Registres!C$2:C$500)=$C$2)*(YEAR(Registres!C$2:C$500)=$E$2)*(TEXT(Registres!F$2:F$500,"0")=TEXT($A6,"0")))&gt;0,"✓",""),"")</f>
        <v/>
      </c>
      <c r="T6" s="17" t="str">
        <f aca="false">IF(17&lt;=DAY(EOMONTH(DATE($E$2,$C$2,1),0)),IF(SUMPRODUCT((DAY(Registres!C$2:C$500)=17)*(MONTH(Registres!C$2:C$500)=$C$2)*(YEAR(Registres!C$2:C$500)=$E$2)*(TEXT(Registres!F$2:F$500,"0")=TEXT($A6,"0")))&gt;0,"✓",""),"")</f>
        <v/>
      </c>
      <c r="U6" s="17" t="str">
        <f aca="false">IF(18&lt;=DAY(EOMONTH(DATE($E$2,$C$2,1),0)),IF(SUMPRODUCT((DAY(Registres!C$2:C$500)=18)*(MONTH(Registres!C$2:C$500)=$C$2)*(YEAR(Registres!C$2:C$500)=$E$2)*(TEXT(Registres!F$2:F$500,"0")=TEXT($A6,"0")))&gt;0,"✓",""),"")</f>
        <v/>
      </c>
      <c r="V6" s="17" t="str">
        <f aca="false">IF(19&lt;=DAY(EOMONTH(DATE($E$2,$C$2,1),0)),IF(SUMPRODUCT((DAY(Registres!C$2:C$500)=19)*(MONTH(Registres!C$2:C$500)=$C$2)*(YEAR(Registres!C$2:C$500)=$E$2)*(TEXT(Registres!F$2:F$500,"0")=TEXT($A6,"0")))&gt;0,"✓",""),"")</f>
        <v/>
      </c>
      <c r="W6" s="17" t="str">
        <f aca="false">IF(20&lt;=DAY(EOMONTH(DATE($E$2,$C$2,1),0)),IF(SUMPRODUCT((DAY(Registres!C$2:C$500)=20)*(MONTH(Registres!C$2:C$500)=$C$2)*(YEAR(Registres!C$2:C$500)=$E$2)*(TEXT(Registres!F$2:F$500,"0")=TEXT($A6,"0")))&gt;0,"✓",""),"")</f>
        <v/>
      </c>
      <c r="X6" s="17" t="str">
        <f aca="false">IF(21&lt;=DAY(EOMONTH(DATE($E$2,$C$2,1),0)),IF(SUMPRODUCT((DAY(Registres!C$2:C$500)=21)*(MONTH(Registres!C$2:C$500)=$C$2)*(YEAR(Registres!C$2:C$500)=$E$2)*(TEXT(Registres!F$2:F$500,"0")=TEXT($A6,"0")))&gt;0,"✓",""),"")</f>
        <v/>
      </c>
      <c r="Y6" s="17" t="str">
        <f aca="false">IF(22&lt;=DAY(EOMONTH(DATE($E$2,$C$2,1),0)),IF(SUMPRODUCT((DAY(Registres!C$2:C$500)=22)*(MONTH(Registres!C$2:C$500)=$C$2)*(YEAR(Registres!C$2:C$500)=$E$2)*(TEXT(Registres!F$2:F$500,"0")=TEXT($A6,"0")))&gt;0,"✓",""),"")</f>
        <v/>
      </c>
      <c r="Z6" s="17" t="str">
        <f aca="false">IF(23&lt;=DAY(EOMONTH(DATE($E$2,$C$2,1),0)),IF(SUMPRODUCT((DAY(Registres!C$2:C$500)=23)*(MONTH(Registres!C$2:C$500)=$C$2)*(YEAR(Registres!C$2:C$500)=$E$2)*(TEXT(Registres!F$2:F$500,"0")=TEXT($A6,"0")))&gt;0,"✓",""),"")</f>
        <v/>
      </c>
      <c r="AA6" s="17" t="str">
        <f aca="false">IF(24&lt;=DAY(EOMONTH(DATE($E$2,$C$2,1),0)),IF(SUMPRODUCT((DAY(Registres!C$2:C$500)=24)*(MONTH(Registres!C$2:C$500)=$C$2)*(YEAR(Registres!C$2:C$500)=$E$2)*(TEXT(Registres!F$2:F$500,"0")=TEXT($A6,"0")))&gt;0,"✓",""),"")</f>
        <v/>
      </c>
      <c r="AB6" s="17" t="str">
        <f aca="false">IF(25&lt;=DAY(EOMONTH(DATE($E$2,$C$2,1),0)),IF(SUMPRODUCT((DAY(Registres!C$2:C$500)=25)*(MONTH(Registres!C$2:C$500)=$C$2)*(YEAR(Registres!C$2:C$500)=$E$2)*(TEXT(Registres!F$2:F$500,"0")=TEXT($A6,"0")))&gt;0,"✓",""),"")</f>
        <v/>
      </c>
      <c r="AC6" s="17" t="str">
        <f aca="false">IF(26&lt;=DAY(EOMONTH(DATE($E$2,$C$2,1),0)),IF(SUMPRODUCT((DAY(Registres!C$2:C$500)=26)*(MONTH(Registres!C$2:C$500)=$C$2)*(YEAR(Registres!C$2:C$500)=$E$2)*(TEXT(Registres!F$2:F$500,"0")=TEXT($A6,"0")))&gt;0,"✓",""),"")</f>
        <v/>
      </c>
      <c r="AD6" s="17" t="str">
        <f aca="false">IF(27&lt;=DAY(EOMONTH(DATE($E$2,$C$2,1),0)),IF(SUMPRODUCT((DAY(Registres!C$2:C$500)=27)*(MONTH(Registres!C$2:C$500)=$C$2)*(YEAR(Registres!C$2:C$500)=$E$2)*(TEXT(Registres!F$2:F$500,"0")=TEXT($A6,"0")))&gt;0,"✓",""),"")</f>
        <v/>
      </c>
      <c r="AE6" s="17" t="str">
        <f aca="false">IF(28&lt;=DAY(EOMONTH(DATE($E$2,$C$2,1),0)),IF(SUMPRODUCT((DAY(Registres!C$2:C$500)=28)*(MONTH(Registres!C$2:C$500)=$C$2)*(YEAR(Registres!C$2:C$500)=$E$2)*(TEXT(Registres!F$2:F$500,"0")=TEXT($A6,"0")))&gt;0,"✓",""),"")</f>
        <v/>
      </c>
      <c r="AF6" s="17" t="str">
        <f aca="false">IF(29&lt;=DAY(EOMONTH(DATE($E$2,$C$2,1),0)),IF(SUMPRODUCT((DAY(Registres!C$2:C$500)=29)*(MONTH(Registres!C$2:C$500)=$C$2)*(YEAR(Registres!C$2:C$500)=$E$2)*(TEXT(Registres!F$2:F$500,"0")=TEXT($A6,"0")))&gt;0,"✓",""),"")</f>
        <v/>
      </c>
      <c r="AG6" s="17" t="str">
        <f aca="false">IF(30&lt;=DAY(EOMONTH(DATE($E$2,$C$2,1),0)),IF(SUMPRODUCT((DAY(Registres!C$2:C$500)=30)*(MONTH(Registres!C$2:C$500)=$C$2)*(YEAR(Registres!C$2:C$500)=$E$2)*(TEXT(Registres!F$2:F$500,"0")=TEXT($A6,"0")))&gt;0,"✓",""),"")</f>
        <v/>
      </c>
      <c r="AH6" s="17" t="str">
        <f aca="false">IF(31&lt;=DAY(EOMONTH(DATE($E$2,$C$2,1),0)),IF(SUMPRODUCT((DAY(Registres!C$2:C$500)=31)*(MONTH(Registres!C$2:C$500)=$C$2)*(YEAR(Registres!C$2:C$500)=$E$2)*(TEXT(Registres!F$2:F$500,"0")=TEXT($A6,"0")))&gt;0,"✓",""),"")</f>
        <v/>
      </c>
      <c r="AI6" s="18" t="n">
        <f aca="false">COUNTIF(D6:AH6,"✓")</f>
        <v>0</v>
      </c>
    </row>
    <row r="7" customFormat="false" ht="15" hidden="false" customHeight="false" outlineLevel="0" collapsed="false">
      <c r="A7" s="14" t="n">
        <v>3</v>
      </c>
      <c r="B7" s="15" t="s">
        <v>115</v>
      </c>
      <c r="C7" s="16" t="s">
        <v>113</v>
      </c>
      <c r="D7" s="17" t="str">
        <f aca="false">IF(1&lt;=DAY(EOMONTH(DATE($E$2,$C$2,1),0)),IF(SUMPRODUCT((DAY(Registres!C$2:C$500)=1)*(MONTH(Registres!C$2:C$500)=$C$2)*(YEAR(Registres!C$2:C$500)=$E$2)*(TEXT(Registres!F$2:F$500,"0")=TEXT($A7,"0")))&gt;0,"✓",""),"")</f>
        <v/>
      </c>
      <c r="E7" s="17" t="str">
        <f aca="false">IF(2&lt;=DAY(EOMONTH(DATE($E$2,$C$2,1),0)),IF(SUMPRODUCT((DAY(Registres!C$2:C$500)=2)*(MONTH(Registres!C$2:C$500)=$C$2)*(YEAR(Registres!C$2:C$500)=$E$2)*(TEXT(Registres!F$2:F$500,"0")=TEXT($A7,"0")))&gt;0,"✓",""),"")</f>
        <v/>
      </c>
      <c r="F7" s="17" t="str">
        <f aca="false">IF(3&lt;=DAY(EOMONTH(DATE($E$2,$C$2,1),0)),IF(SUMPRODUCT((DAY(Registres!C$2:C$500)=3)*(MONTH(Registres!C$2:C$500)=$C$2)*(YEAR(Registres!C$2:C$500)=$E$2)*(TEXT(Registres!F$2:F$500,"0")=TEXT($A7,"0")))&gt;0,"✓",""),"")</f>
        <v/>
      </c>
      <c r="G7" s="17" t="str">
        <f aca="false">IF(4&lt;=DAY(EOMONTH(DATE($E$2,$C$2,1),0)),IF(SUMPRODUCT((DAY(Registres!C$2:C$500)=4)*(MONTH(Registres!C$2:C$500)=$C$2)*(YEAR(Registres!C$2:C$500)=$E$2)*(TEXT(Registres!F$2:F$500,"0")=TEXT($A7,"0")))&gt;0,"✓",""),"")</f>
        <v/>
      </c>
      <c r="H7" s="17" t="str">
        <f aca="false">IF(5&lt;=DAY(EOMONTH(DATE($E$2,$C$2,1),0)),IF(SUMPRODUCT((DAY(Registres!C$2:C$500)=5)*(MONTH(Registres!C$2:C$500)=$C$2)*(YEAR(Registres!C$2:C$500)=$E$2)*(TEXT(Registres!F$2:F$500,"0")=TEXT($A7,"0")))&gt;0,"✓",""),"")</f>
        <v/>
      </c>
      <c r="I7" s="17" t="str">
        <f aca="false">IF(6&lt;=DAY(EOMONTH(DATE($E$2,$C$2,1),0)),IF(SUMPRODUCT((DAY(Registres!C$2:C$500)=6)*(MONTH(Registres!C$2:C$500)=$C$2)*(YEAR(Registres!C$2:C$500)=$E$2)*(TEXT(Registres!F$2:F$500,"0")=TEXT($A7,"0")))&gt;0,"✓",""),"")</f>
        <v/>
      </c>
      <c r="J7" s="17" t="str">
        <f aca="false">IF(7&lt;=DAY(EOMONTH(DATE($E$2,$C$2,1),0)),IF(SUMPRODUCT((DAY(Registres!C$2:C$500)=7)*(MONTH(Registres!C$2:C$500)=$C$2)*(YEAR(Registres!C$2:C$500)=$E$2)*(TEXT(Registres!F$2:F$500,"0")=TEXT($A7,"0")))&gt;0,"✓",""),"")</f>
        <v/>
      </c>
      <c r="K7" s="17" t="str">
        <f aca="false">IF(8&lt;=DAY(EOMONTH(DATE($E$2,$C$2,1),0)),IF(SUMPRODUCT((DAY(Registres!C$2:C$500)=8)*(MONTH(Registres!C$2:C$500)=$C$2)*(YEAR(Registres!C$2:C$500)=$E$2)*(TEXT(Registres!F$2:F$500,"0")=TEXT($A7,"0")))&gt;0,"✓",""),"")</f>
        <v/>
      </c>
      <c r="L7" s="17" t="str">
        <f aca="false">IF(9&lt;=DAY(EOMONTH(DATE($E$2,$C$2,1),0)),IF(SUMPRODUCT((DAY(Registres!C$2:C$500)=9)*(MONTH(Registres!C$2:C$500)=$C$2)*(YEAR(Registres!C$2:C$500)=$E$2)*(TEXT(Registres!F$2:F$500,"0")=TEXT($A7,"0")))&gt;0,"✓",""),"")</f>
        <v/>
      </c>
      <c r="M7" s="17" t="str">
        <f aca="false">IF(10&lt;=DAY(EOMONTH(DATE($E$2,$C$2,1),0)),IF(SUMPRODUCT((DAY(Registres!C$2:C$500)=10)*(MONTH(Registres!C$2:C$500)=$C$2)*(YEAR(Registres!C$2:C$500)=$E$2)*(TEXT(Registres!F$2:F$500,"0")=TEXT($A7,"0")))&gt;0,"✓",""),"")</f>
        <v/>
      </c>
      <c r="N7" s="17" t="str">
        <f aca="false">IF(11&lt;=DAY(EOMONTH(DATE($E$2,$C$2,1),0)),IF(SUMPRODUCT((DAY(Registres!C$2:C$500)=11)*(MONTH(Registres!C$2:C$500)=$C$2)*(YEAR(Registres!C$2:C$500)=$E$2)*(TEXT(Registres!F$2:F$500,"0")=TEXT($A7,"0")))&gt;0,"✓",""),"")</f>
        <v/>
      </c>
      <c r="O7" s="17" t="str">
        <f aca="false">IF(12&lt;=DAY(EOMONTH(DATE($E$2,$C$2,1),0)),IF(SUMPRODUCT((DAY(Registres!C$2:C$500)=12)*(MONTH(Registres!C$2:C$500)=$C$2)*(YEAR(Registres!C$2:C$500)=$E$2)*(TEXT(Registres!F$2:F$500,"0")=TEXT($A7,"0")))&gt;0,"✓",""),"")</f>
        <v/>
      </c>
      <c r="P7" s="17" t="str">
        <f aca="false">IF(13&lt;=DAY(EOMONTH(DATE($E$2,$C$2,1),0)),IF(SUMPRODUCT((DAY(Registres!C$2:C$500)=13)*(MONTH(Registres!C$2:C$500)=$C$2)*(YEAR(Registres!C$2:C$500)=$E$2)*(TEXT(Registres!F$2:F$500,"0")=TEXT($A7,"0")))&gt;0,"✓",""),"")</f>
        <v/>
      </c>
      <c r="Q7" s="17" t="str">
        <f aca="false">IF(14&lt;=DAY(EOMONTH(DATE($E$2,$C$2,1),0)),IF(SUMPRODUCT((DAY(Registres!C$2:C$500)=14)*(MONTH(Registres!C$2:C$500)=$C$2)*(YEAR(Registres!C$2:C$500)=$E$2)*(TEXT(Registres!F$2:F$500,"0")=TEXT($A7,"0")))&gt;0,"✓",""),"")</f>
        <v/>
      </c>
      <c r="R7" s="17" t="str">
        <f aca="false">IF(15&lt;=DAY(EOMONTH(DATE($E$2,$C$2,1),0)),IF(SUMPRODUCT((DAY(Registres!C$2:C$500)=15)*(MONTH(Registres!C$2:C$500)=$C$2)*(YEAR(Registres!C$2:C$500)=$E$2)*(TEXT(Registres!F$2:F$500,"0")=TEXT($A7,"0")))&gt;0,"✓",""),"")</f>
        <v/>
      </c>
      <c r="S7" s="17" t="str">
        <f aca="false">IF(16&lt;=DAY(EOMONTH(DATE($E$2,$C$2,1),0)),IF(SUMPRODUCT((DAY(Registres!C$2:C$500)=16)*(MONTH(Registres!C$2:C$500)=$C$2)*(YEAR(Registres!C$2:C$500)=$E$2)*(TEXT(Registres!F$2:F$500,"0")=TEXT($A7,"0")))&gt;0,"✓",""),"")</f>
        <v/>
      </c>
      <c r="T7" s="17" t="str">
        <f aca="false">IF(17&lt;=DAY(EOMONTH(DATE($E$2,$C$2,1),0)),IF(SUMPRODUCT((DAY(Registres!C$2:C$500)=17)*(MONTH(Registres!C$2:C$500)=$C$2)*(YEAR(Registres!C$2:C$500)=$E$2)*(TEXT(Registres!F$2:F$500,"0")=TEXT($A7,"0")))&gt;0,"✓",""),"")</f>
        <v/>
      </c>
      <c r="U7" s="17" t="str">
        <f aca="false">IF(18&lt;=DAY(EOMONTH(DATE($E$2,$C$2,1),0)),IF(SUMPRODUCT((DAY(Registres!C$2:C$500)=18)*(MONTH(Registres!C$2:C$500)=$C$2)*(YEAR(Registres!C$2:C$500)=$E$2)*(TEXT(Registres!F$2:F$500,"0")=TEXT($A7,"0")))&gt;0,"✓",""),"")</f>
        <v/>
      </c>
      <c r="V7" s="17" t="str">
        <f aca="false">IF(19&lt;=DAY(EOMONTH(DATE($E$2,$C$2,1),0)),IF(SUMPRODUCT((DAY(Registres!C$2:C$500)=19)*(MONTH(Registres!C$2:C$500)=$C$2)*(YEAR(Registres!C$2:C$500)=$E$2)*(TEXT(Registres!F$2:F$500,"0")=TEXT($A7,"0")))&gt;0,"✓",""),"")</f>
        <v/>
      </c>
      <c r="W7" s="17" t="str">
        <f aca="false">IF(20&lt;=DAY(EOMONTH(DATE($E$2,$C$2,1),0)),IF(SUMPRODUCT((DAY(Registres!C$2:C$500)=20)*(MONTH(Registres!C$2:C$500)=$C$2)*(YEAR(Registres!C$2:C$500)=$E$2)*(TEXT(Registres!F$2:F$500,"0")=TEXT($A7,"0")))&gt;0,"✓",""),"")</f>
        <v/>
      </c>
      <c r="X7" s="17" t="str">
        <f aca="false">IF(21&lt;=DAY(EOMONTH(DATE($E$2,$C$2,1),0)),IF(SUMPRODUCT((DAY(Registres!C$2:C$500)=21)*(MONTH(Registres!C$2:C$500)=$C$2)*(YEAR(Registres!C$2:C$500)=$E$2)*(TEXT(Registres!F$2:F$500,"0")=TEXT($A7,"0")))&gt;0,"✓",""),"")</f>
        <v/>
      </c>
      <c r="Y7" s="17" t="str">
        <f aca="false">IF(22&lt;=DAY(EOMONTH(DATE($E$2,$C$2,1),0)),IF(SUMPRODUCT((DAY(Registres!C$2:C$500)=22)*(MONTH(Registres!C$2:C$500)=$C$2)*(YEAR(Registres!C$2:C$500)=$E$2)*(TEXT(Registres!F$2:F$500,"0")=TEXT($A7,"0")))&gt;0,"✓",""),"")</f>
        <v/>
      </c>
      <c r="Z7" s="17" t="str">
        <f aca="false">IF(23&lt;=DAY(EOMONTH(DATE($E$2,$C$2,1),0)),IF(SUMPRODUCT((DAY(Registres!C$2:C$500)=23)*(MONTH(Registres!C$2:C$500)=$C$2)*(YEAR(Registres!C$2:C$500)=$E$2)*(TEXT(Registres!F$2:F$500,"0")=TEXT($A7,"0")))&gt;0,"✓",""),"")</f>
        <v/>
      </c>
      <c r="AA7" s="17" t="str">
        <f aca="false">IF(24&lt;=DAY(EOMONTH(DATE($E$2,$C$2,1),0)),IF(SUMPRODUCT((DAY(Registres!C$2:C$500)=24)*(MONTH(Registres!C$2:C$500)=$C$2)*(YEAR(Registres!C$2:C$500)=$E$2)*(TEXT(Registres!F$2:F$500,"0")=TEXT($A7,"0")))&gt;0,"✓",""),"")</f>
        <v/>
      </c>
      <c r="AB7" s="17" t="str">
        <f aca="false">IF(25&lt;=DAY(EOMONTH(DATE($E$2,$C$2,1),0)),IF(SUMPRODUCT((DAY(Registres!C$2:C$500)=25)*(MONTH(Registres!C$2:C$500)=$C$2)*(YEAR(Registres!C$2:C$500)=$E$2)*(TEXT(Registres!F$2:F$500,"0")=TEXT($A7,"0")))&gt;0,"✓",""),"")</f>
        <v/>
      </c>
      <c r="AC7" s="17" t="str">
        <f aca="false">IF(26&lt;=DAY(EOMONTH(DATE($E$2,$C$2,1),0)),IF(SUMPRODUCT((DAY(Registres!C$2:C$500)=26)*(MONTH(Registres!C$2:C$500)=$C$2)*(YEAR(Registres!C$2:C$500)=$E$2)*(TEXT(Registres!F$2:F$500,"0")=TEXT($A7,"0")))&gt;0,"✓",""),"")</f>
        <v/>
      </c>
      <c r="AD7" s="17" t="str">
        <f aca="false">IF(27&lt;=DAY(EOMONTH(DATE($E$2,$C$2,1),0)),IF(SUMPRODUCT((DAY(Registres!C$2:C$500)=27)*(MONTH(Registres!C$2:C$500)=$C$2)*(YEAR(Registres!C$2:C$500)=$E$2)*(TEXT(Registres!F$2:F$500,"0")=TEXT($A7,"0")))&gt;0,"✓",""),"")</f>
        <v/>
      </c>
      <c r="AE7" s="17" t="str">
        <f aca="false">IF(28&lt;=DAY(EOMONTH(DATE($E$2,$C$2,1),0)),IF(SUMPRODUCT((DAY(Registres!C$2:C$500)=28)*(MONTH(Registres!C$2:C$500)=$C$2)*(YEAR(Registres!C$2:C$500)=$E$2)*(TEXT(Registres!F$2:F$500,"0")=TEXT($A7,"0")))&gt;0,"✓",""),"")</f>
        <v/>
      </c>
      <c r="AF7" s="17" t="str">
        <f aca="false">IF(29&lt;=DAY(EOMONTH(DATE($E$2,$C$2,1),0)),IF(SUMPRODUCT((DAY(Registres!C$2:C$500)=29)*(MONTH(Registres!C$2:C$500)=$C$2)*(YEAR(Registres!C$2:C$500)=$E$2)*(TEXT(Registres!F$2:F$500,"0")=TEXT($A7,"0")))&gt;0,"✓",""),"")</f>
        <v/>
      </c>
      <c r="AG7" s="17" t="str">
        <f aca="false">IF(30&lt;=DAY(EOMONTH(DATE($E$2,$C$2,1),0)),IF(SUMPRODUCT((DAY(Registres!C$2:C$500)=30)*(MONTH(Registres!C$2:C$500)=$C$2)*(YEAR(Registres!C$2:C$500)=$E$2)*(TEXT(Registres!F$2:F$500,"0")=TEXT($A7,"0")))&gt;0,"✓",""),"")</f>
        <v/>
      </c>
      <c r="AH7" s="17" t="str">
        <f aca="false">IF(31&lt;=DAY(EOMONTH(DATE($E$2,$C$2,1),0)),IF(SUMPRODUCT((DAY(Registres!C$2:C$500)=31)*(MONTH(Registres!C$2:C$500)=$C$2)*(YEAR(Registres!C$2:C$500)=$E$2)*(TEXT(Registres!F$2:F$500,"0")=TEXT($A7,"0")))&gt;0,"✓",""),"")</f>
        <v/>
      </c>
      <c r="AI7" s="18" t="n">
        <f aca="false">COUNTIF(D7:AH7,"✓")</f>
        <v>0</v>
      </c>
    </row>
    <row r="8" customFormat="false" ht="15" hidden="false" customHeight="false" outlineLevel="0" collapsed="false">
      <c r="A8" s="19" t="n">
        <v>4</v>
      </c>
      <c r="B8" s="20" t="s">
        <v>116</v>
      </c>
      <c r="C8" s="21" t="s">
        <v>113</v>
      </c>
      <c r="D8" s="17" t="str">
        <f aca="false">IF(1&lt;=DAY(EOMONTH(DATE($E$2,$C$2,1),0)),IF(SUMPRODUCT((DAY(Registres!C$2:C$500)=1)*(MONTH(Registres!C$2:C$500)=$C$2)*(YEAR(Registres!C$2:C$500)=$E$2)*(TEXT(Registres!F$2:F$500,"0")=TEXT($A8,"0")))&gt;0,"✓",""),"")</f>
        <v/>
      </c>
      <c r="E8" s="17" t="str">
        <f aca="false">IF(2&lt;=DAY(EOMONTH(DATE($E$2,$C$2,1),0)),IF(SUMPRODUCT((DAY(Registres!C$2:C$500)=2)*(MONTH(Registres!C$2:C$500)=$C$2)*(YEAR(Registres!C$2:C$500)=$E$2)*(TEXT(Registres!F$2:F$500,"0")=TEXT($A8,"0")))&gt;0,"✓",""),"")</f>
        <v/>
      </c>
      <c r="F8" s="17" t="str">
        <f aca="false">IF(3&lt;=DAY(EOMONTH(DATE($E$2,$C$2,1),0)),IF(SUMPRODUCT((DAY(Registres!C$2:C$500)=3)*(MONTH(Registres!C$2:C$500)=$C$2)*(YEAR(Registres!C$2:C$500)=$E$2)*(TEXT(Registres!F$2:F$500,"0")=TEXT($A8,"0")))&gt;0,"✓",""),"")</f>
        <v/>
      </c>
      <c r="G8" s="17" t="str">
        <f aca="false">IF(4&lt;=DAY(EOMONTH(DATE($E$2,$C$2,1),0)),IF(SUMPRODUCT((DAY(Registres!C$2:C$500)=4)*(MONTH(Registres!C$2:C$500)=$C$2)*(YEAR(Registres!C$2:C$500)=$E$2)*(TEXT(Registres!F$2:F$500,"0")=TEXT($A8,"0")))&gt;0,"✓",""),"")</f>
        <v/>
      </c>
      <c r="H8" s="17" t="str">
        <f aca="false">IF(5&lt;=DAY(EOMONTH(DATE($E$2,$C$2,1),0)),IF(SUMPRODUCT((DAY(Registres!C$2:C$500)=5)*(MONTH(Registres!C$2:C$500)=$C$2)*(YEAR(Registres!C$2:C$500)=$E$2)*(TEXT(Registres!F$2:F$500,"0")=TEXT($A8,"0")))&gt;0,"✓",""),"")</f>
        <v/>
      </c>
      <c r="I8" s="17" t="str">
        <f aca="false">IF(6&lt;=DAY(EOMONTH(DATE($E$2,$C$2,1),0)),IF(SUMPRODUCT((DAY(Registres!C$2:C$500)=6)*(MONTH(Registres!C$2:C$500)=$C$2)*(YEAR(Registres!C$2:C$500)=$E$2)*(TEXT(Registres!F$2:F$500,"0")=TEXT($A8,"0")))&gt;0,"✓",""),"")</f>
        <v/>
      </c>
      <c r="J8" s="17" t="str">
        <f aca="false">IF(7&lt;=DAY(EOMONTH(DATE($E$2,$C$2,1),0)),IF(SUMPRODUCT((DAY(Registres!C$2:C$500)=7)*(MONTH(Registres!C$2:C$500)=$C$2)*(YEAR(Registres!C$2:C$500)=$E$2)*(TEXT(Registres!F$2:F$500,"0")=TEXT($A8,"0")))&gt;0,"✓",""),"")</f>
        <v/>
      </c>
      <c r="K8" s="17" t="str">
        <f aca="false">IF(8&lt;=DAY(EOMONTH(DATE($E$2,$C$2,1),0)),IF(SUMPRODUCT((DAY(Registres!C$2:C$500)=8)*(MONTH(Registres!C$2:C$500)=$C$2)*(YEAR(Registres!C$2:C$500)=$E$2)*(TEXT(Registres!F$2:F$500,"0")=TEXT($A8,"0")))&gt;0,"✓",""),"")</f>
        <v/>
      </c>
      <c r="L8" s="17" t="str">
        <f aca="false">IF(9&lt;=DAY(EOMONTH(DATE($E$2,$C$2,1),0)),IF(SUMPRODUCT((DAY(Registres!C$2:C$500)=9)*(MONTH(Registres!C$2:C$500)=$C$2)*(YEAR(Registres!C$2:C$500)=$E$2)*(TEXT(Registres!F$2:F$500,"0")=TEXT($A8,"0")))&gt;0,"✓",""),"")</f>
        <v/>
      </c>
      <c r="M8" s="17" t="str">
        <f aca="false">IF(10&lt;=DAY(EOMONTH(DATE($E$2,$C$2,1),0)),IF(SUMPRODUCT((DAY(Registres!C$2:C$500)=10)*(MONTH(Registres!C$2:C$500)=$C$2)*(YEAR(Registres!C$2:C$500)=$E$2)*(TEXT(Registres!F$2:F$500,"0")=TEXT($A8,"0")))&gt;0,"✓",""),"")</f>
        <v/>
      </c>
      <c r="N8" s="17" t="str">
        <f aca="false">IF(11&lt;=DAY(EOMONTH(DATE($E$2,$C$2,1),0)),IF(SUMPRODUCT((DAY(Registres!C$2:C$500)=11)*(MONTH(Registres!C$2:C$500)=$C$2)*(YEAR(Registres!C$2:C$500)=$E$2)*(TEXT(Registres!F$2:F$500,"0")=TEXT($A8,"0")))&gt;0,"✓",""),"")</f>
        <v/>
      </c>
      <c r="O8" s="17" t="str">
        <f aca="false">IF(12&lt;=DAY(EOMONTH(DATE($E$2,$C$2,1),0)),IF(SUMPRODUCT((DAY(Registres!C$2:C$500)=12)*(MONTH(Registres!C$2:C$500)=$C$2)*(YEAR(Registres!C$2:C$500)=$E$2)*(TEXT(Registres!F$2:F$500,"0")=TEXT($A8,"0")))&gt;0,"✓",""),"")</f>
        <v/>
      </c>
      <c r="P8" s="17" t="str">
        <f aca="false">IF(13&lt;=DAY(EOMONTH(DATE($E$2,$C$2,1),0)),IF(SUMPRODUCT((DAY(Registres!C$2:C$500)=13)*(MONTH(Registres!C$2:C$500)=$C$2)*(YEAR(Registres!C$2:C$500)=$E$2)*(TEXT(Registres!F$2:F$500,"0")=TEXT($A8,"0")))&gt;0,"✓",""),"")</f>
        <v/>
      </c>
      <c r="Q8" s="17" t="str">
        <f aca="false">IF(14&lt;=DAY(EOMONTH(DATE($E$2,$C$2,1),0)),IF(SUMPRODUCT((DAY(Registres!C$2:C$500)=14)*(MONTH(Registres!C$2:C$500)=$C$2)*(YEAR(Registres!C$2:C$500)=$E$2)*(TEXT(Registres!F$2:F$500,"0")=TEXT($A8,"0")))&gt;0,"✓",""),"")</f>
        <v/>
      </c>
      <c r="R8" s="17" t="str">
        <f aca="false">IF(15&lt;=DAY(EOMONTH(DATE($E$2,$C$2,1),0)),IF(SUMPRODUCT((DAY(Registres!C$2:C$500)=15)*(MONTH(Registres!C$2:C$500)=$C$2)*(YEAR(Registres!C$2:C$500)=$E$2)*(TEXT(Registres!F$2:F$500,"0")=TEXT($A8,"0")))&gt;0,"✓",""),"")</f>
        <v/>
      </c>
      <c r="S8" s="17" t="str">
        <f aca="false">IF(16&lt;=DAY(EOMONTH(DATE($E$2,$C$2,1),0)),IF(SUMPRODUCT((DAY(Registres!C$2:C$500)=16)*(MONTH(Registres!C$2:C$500)=$C$2)*(YEAR(Registres!C$2:C$500)=$E$2)*(TEXT(Registres!F$2:F$500,"0")=TEXT($A8,"0")))&gt;0,"✓",""),"")</f>
        <v/>
      </c>
      <c r="T8" s="17" t="str">
        <f aca="false">IF(17&lt;=DAY(EOMONTH(DATE($E$2,$C$2,1),0)),IF(SUMPRODUCT((DAY(Registres!C$2:C$500)=17)*(MONTH(Registres!C$2:C$500)=$C$2)*(YEAR(Registres!C$2:C$500)=$E$2)*(TEXT(Registres!F$2:F$500,"0")=TEXT($A8,"0")))&gt;0,"✓",""),"")</f>
        <v/>
      </c>
      <c r="U8" s="17" t="str">
        <f aca="false">IF(18&lt;=DAY(EOMONTH(DATE($E$2,$C$2,1),0)),IF(SUMPRODUCT((DAY(Registres!C$2:C$500)=18)*(MONTH(Registres!C$2:C$500)=$C$2)*(YEAR(Registres!C$2:C$500)=$E$2)*(TEXT(Registres!F$2:F$500,"0")=TEXT($A8,"0")))&gt;0,"✓",""),"")</f>
        <v/>
      </c>
      <c r="V8" s="17" t="str">
        <f aca="false">IF(19&lt;=DAY(EOMONTH(DATE($E$2,$C$2,1),0)),IF(SUMPRODUCT((DAY(Registres!C$2:C$500)=19)*(MONTH(Registres!C$2:C$500)=$C$2)*(YEAR(Registres!C$2:C$500)=$E$2)*(TEXT(Registres!F$2:F$500,"0")=TEXT($A8,"0")))&gt;0,"✓",""),"")</f>
        <v/>
      </c>
      <c r="W8" s="17" t="str">
        <f aca="false">IF(20&lt;=DAY(EOMONTH(DATE($E$2,$C$2,1),0)),IF(SUMPRODUCT((DAY(Registres!C$2:C$500)=20)*(MONTH(Registres!C$2:C$500)=$C$2)*(YEAR(Registres!C$2:C$500)=$E$2)*(TEXT(Registres!F$2:F$500,"0")=TEXT($A8,"0")))&gt;0,"✓",""),"")</f>
        <v/>
      </c>
      <c r="X8" s="17" t="str">
        <f aca="false">IF(21&lt;=DAY(EOMONTH(DATE($E$2,$C$2,1),0)),IF(SUMPRODUCT((DAY(Registres!C$2:C$500)=21)*(MONTH(Registres!C$2:C$500)=$C$2)*(YEAR(Registres!C$2:C$500)=$E$2)*(TEXT(Registres!F$2:F$500,"0")=TEXT($A8,"0")))&gt;0,"✓",""),"")</f>
        <v/>
      </c>
      <c r="Y8" s="17" t="str">
        <f aca="false">IF(22&lt;=DAY(EOMONTH(DATE($E$2,$C$2,1),0)),IF(SUMPRODUCT((DAY(Registres!C$2:C$500)=22)*(MONTH(Registres!C$2:C$500)=$C$2)*(YEAR(Registres!C$2:C$500)=$E$2)*(TEXT(Registres!F$2:F$500,"0")=TEXT($A8,"0")))&gt;0,"✓",""),"")</f>
        <v/>
      </c>
      <c r="Z8" s="17" t="str">
        <f aca="false">IF(23&lt;=DAY(EOMONTH(DATE($E$2,$C$2,1),0)),IF(SUMPRODUCT((DAY(Registres!C$2:C$500)=23)*(MONTH(Registres!C$2:C$500)=$C$2)*(YEAR(Registres!C$2:C$500)=$E$2)*(TEXT(Registres!F$2:F$500,"0")=TEXT($A8,"0")))&gt;0,"✓",""),"")</f>
        <v/>
      </c>
      <c r="AA8" s="17" t="str">
        <f aca="false">IF(24&lt;=DAY(EOMONTH(DATE($E$2,$C$2,1),0)),IF(SUMPRODUCT((DAY(Registres!C$2:C$500)=24)*(MONTH(Registres!C$2:C$500)=$C$2)*(YEAR(Registres!C$2:C$500)=$E$2)*(TEXT(Registres!F$2:F$500,"0")=TEXT($A8,"0")))&gt;0,"✓",""),"")</f>
        <v/>
      </c>
      <c r="AB8" s="17" t="str">
        <f aca="false">IF(25&lt;=DAY(EOMONTH(DATE($E$2,$C$2,1),0)),IF(SUMPRODUCT((DAY(Registres!C$2:C$500)=25)*(MONTH(Registres!C$2:C$500)=$C$2)*(YEAR(Registres!C$2:C$500)=$E$2)*(TEXT(Registres!F$2:F$500,"0")=TEXT($A8,"0")))&gt;0,"✓",""),"")</f>
        <v/>
      </c>
      <c r="AC8" s="17" t="str">
        <f aca="false">IF(26&lt;=DAY(EOMONTH(DATE($E$2,$C$2,1),0)),IF(SUMPRODUCT((DAY(Registres!C$2:C$500)=26)*(MONTH(Registres!C$2:C$500)=$C$2)*(YEAR(Registres!C$2:C$500)=$E$2)*(TEXT(Registres!F$2:F$500,"0")=TEXT($A8,"0")))&gt;0,"✓",""),"")</f>
        <v/>
      </c>
      <c r="AD8" s="17" t="str">
        <f aca="false">IF(27&lt;=DAY(EOMONTH(DATE($E$2,$C$2,1),0)),IF(SUMPRODUCT((DAY(Registres!C$2:C$500)=27)*(MONTH(Registres!C$2:C$500)=$C$2)*(YEAR(Registres!C$2:C$500)=$E$2)*(TEXT(Registres!F$2:F$500,"0")=TEXT($A8,"0")))&gt;0,"✓",""),"")</f>
        <v/>
      </c>
      <c r="AE8" s="17" t="str">
        <f aca="false">IF(28&lt;=DAY(EOMONTH(DATE($E$2,$C$2,1),0)),IF(SUMPRODUCT((DAY(Registres!C$2:C$500)=28)*(MONTH(Registres!C$2:C$500)=$C$2)*(YEAR(Registres!C$2:C$500)=$E$2)*(TEXT(Registres!F$2:F$500,"0")=TEXT($A8,"0")))&gt;0,"✓",""),"")</f>
        <v/>
      </c>
      <c r="AF8" s="17" t="str">
        <f aca="false">IF(29&lt;=DAY(EOMONTH(DATE($E$2,$C$2,1),0)),IF(SUMPRODUCT((DAY(Registres!C$2:C$500)=29)*(MONTH(Registres!C$2:C$500)=$C$2)*(YEAR(Registres!C$2:C$500)=$E$2)*(TEXT(Registres!F$2:F$500,"0")=TEXT($A8,"0")))&gt;0,"✓",""),"")</f>
        <v/>
      </c>
      <c r="AG8" s="17" t="str">
        <f aca="false">IF(30&lt;=DAY(EOMONTH(DATE($E$2,$C$2,1),0)),IF(SUMPRODUCT((DAY(Registres!C$2:C$500)=30)*(MONTH(Registres!C$2:C$500)=$C$2)*(YEAR(Registres!C$2:C$500)=$E$2)*(TEXT(Registres!F$2:F$500,"0")=TEXT($A8,"0")))&gt;0,"✓",""),"")</f>
        <v/>
      </c>
      <c r="AH8" s="17" t="str">
        <f aca="false">IF(31&lt;=DAY(EOMONTH(DATE($E$2,$C$2,1),0)),IF(SUMPRODUCT((DAY(Registres!C$2:C$500)=31)*(MONTH(Registres!C$2:C$500)=$C$2)*(YEAR(Registres!C$2:C$500)=$E$2)*(TEXT(Registres!F$2:F$500,"0")=TEXT($A8,"0")))&gt;0,"✓",""),"")</f>
        <v/>
      </c>
      <c r="AI8" s="18" t="n">
        <f aca="false">COUNTIF(D8:AH8,"✓")</f>
        <v>0</v>
      </c>
    </row>
    <row r="9" customFormat="false" ht="15" hidden="false" customHeight="false" outlineLevel="0" collapsed="false">
      <c r="A9" s="14" t="n">
        <v>5</v>
      </c>
      <c r="B9" s="15" t="s">
        <v>117</v>
      </c>
      <c r="C9" s="16" t="s">
        <v>113</v>
      </c>
      <c r="D9" s="17" t="str">
        <f aca="false">IF(1&lt;=DAY(EOMONTH(DATE($E$2,$C$2,1),0)),IF(SUMPRODUCT((DAY(Registres!C$2:C$500)=1)*(MONTH(Registres!C$2:C$500)=$C$2)*(YEAR(Registres!C$2:C$500)=$E$2)*(TEXT(Registres!F$2:F$500,"0")=TEXT($A9,"0")))&gt;0,"✓",""),"")</f>
        <v/>
      </c>
      <c r="E9" s="17" t="str">
        <f aca="false">IF(2&lt;=DAY(EOMONTH(DATE($E$2,$C$2,1),0)),IF(SUMPRODUCT((DAY(Registres!C$2:C$500)=2)*(MONTH(Registres!C$2:C$500)=$C$2)*(YEAR(Registres!C$2:C$500)=$E$2)*(TEXT(Registres!F$2:F$500,"0")=TEXT($A9,"0")))&gt;0,"✓",""),"")</f>
        <v/>
      </c>
      <c r="F9" s="17" t="str">
        <f aca="false">IF(3&lt;=DAY(EOMONTH(DATE($E$2,$C$2,1),0)),IF(SUMPRODUCT((DAY(Registres!C$2:C$500)=3)*(MONTH(Registres!C$2:C$500)=$C$2)*(YEAR(Registres!C$2:C$500)=$E$2)*(TEXT(Registres!F$2:F$500,"0")=TEXT($A9,"0")))&gt;0,"✓",""),"")</f>
        <v/>
      </c>
      <c r="G9" s="17" t="str">
        <f aca="false">IF(4&lt;=DAY(EOMONTH(DATE($E$2,$C$2,1),0)),IF(SUMPRODUCT((DAY(Registres!C$2:C$500)=4)*(MONTH(Registres!C$2:C$500)=$C$2)*(YEAR(Registres!C$2:C$500)=$E$2)*(TEXT(Registres!F$2:F$500,"0")=TEXT($A9,"0")))&gt;0,"✓",""),"")</f>
        <v/>
      </c>
      <c r="H9" s="17" t="str">
        <f aca="false">IF(5&lt;=DAY(EOMONTH(DATE($E$2,$C$2,1),0)),IF(SUMPRODUCT((DAY(Registres!C$2:C$500)=5)*(MONTH(Registres!C$2:C$500)=$C$2)*(YEAR(Registres!C$2:C$500)=$E$2)*(TEXT(Registres!F$2:F$500,"0")=TEXT($A9,"0")))&gt;0,"✓",""),"")</f>
        <v/>
      </c>
      <c r="I9" s="17" t="str">
        <f aca="false">IF(6&lt;=DAY(EOMONTH(DATE($E$2,$C$2,1),0)),IF(SUMPRODUCT((DAY(Registres!C$2:C$500)=6)*(MONTH(Registres!C$2:C$500)=$C$2)*(YEAR(Registres!C$2:C$500)=$E$2)*(TEXT(Registres!F$2:F$500,"0")=TEXT($A9,"0")))&gt;0,"✓",""),"")</f>
        <v/>
      </c>
      <c r="J9" s="17" t="str">
        <f aca="false">IF(7&lt;=DAY(EOMONTH(DATE($E$2,$C$2,1),0)),IF(SUMPRODUCT((DAY(Registres!C$2:C$500)=7)*(MONTH(Registres!C$2:C$500)=$C$2)*(YEAR(Registres!C$2:C$500)=$E$2)*(TEXT(Registres!F$2:F$500,"0")=TEXT($A9,"0")))&gt;0,"✓",""),"")</f>
        <v/>
      </c>
      <c r="K9" s="17" t="str">
        <f aca="false">IF(8&lt;=DAY(EOMONTH(DATE($E$2,$C$2,1),0)),IF(SUMPRODUCT((DAY(Registres!C$2:C$500)=8)*(MONTH(Registres!C$2:C$500)=$C$2)*(YEAR(Registres!C$2:C$500)=$E$2)*(TEXT(Registres!F$2:F$500,"0")=TEXT($A9,"0")))&gt;0,"✓",""),"")</f>
        <v/>
      </c>
      <c r="L9" s="17" t="str">
        <f aca="false">IF(9&lt;=DAY(EOMONTH(DATE($E$2,$C$2,1),0)),IF(SUMPRODUCT((DAY(Registres!C$2:C$500)=9)*(MONTH(Registres!C$2:C$500)=$C$2)*(YEAR(Registres!C$2:C$500)=$E$2)*(TEXT(Registres!F$2:F$500,"0")=TEXT($A9,"0")))&gt;0,"✓",""),"")</f>
        <v/>
      </c>
      <c r="M9" s="17" t="str">
        <f aca="false">IF(10&lt;=DAY(EOMONTH(DATE($E$2,$C$2,1),0)),IF(SUMPRODUCT((DAY(Registres!C$2:C$500)=10)*(MONTH(Registres!C$2:C$500)=$C$2)*(YEAR(Registres!C$2:C$500)=$E$2)*(TEXT(Registres!F$2:F$500,"0")=TEXT($A9,"0")))&gt;0,"✓",""),"")</f>
        <v/>
      </c>
      <c r="N9" s="17" t="str">
        <f aca="false">IF(11&lt;=DAY(EOMONTH(DATE($E$2,$C$2,1),0)),IF(SUMPRODUCT((DAY(Registres!C$2:C$500)=11)*(MONTH(Registres!C$2:C$500)=$C$2)*(YEAR(Registres!C$2:C$500)=$E$2)*(TEXT(Registres!F$2:F$500,"0")=TEXT($A9,"0")))&gt;0,"✓",""),"")</f>
        <v/>
      </c>
      <c r="O9" s="17" t="str">
        <f aca="false">IF(12&lt;=DAY(EOMONTH(DATE($E$2,$C$2,1),0)),IF(SUMPRODUCT((DAY(Registres!C$2:C$500)=12)*(MONTH(Registres!C$2:C$500)=$C$2)*(YEAR(Registres!C$2:C$500)=$E$2)*(TEXT(Registres!F$2:F$500,"0")=TEXT($A9,"0")))&gt;0,"✓",""),"")</f>
        <v/>
      </c>
      <c r="P9" s="17" t="str">
        <f aca="false">IF(13&lt;=DAY(EOMONTH(DATE($E$2,$C$2,1),0)),IF(SUMPRODUCT((DAY(Registres!C$2:C$500)=13)*(MONTH(Registres!C$2:C$500)=$C$2)*(YEAR(Registres!C$2:C$500)=$E$2)*(TEXT(Registres!F$2:F$500,"0")=TEXT($A9,"0")))&gt;0,"✓",""),"")</f>
        <v/>
      </c>
      <c r="Q9" s="17" t="str">
        <f aca="false">IF(14&lt;=DAY(EOMONTH(DATE($E$2,$C$2,1),0)),IF(SUMPRODUCT((DAY(Registres!C$2:C$500)=14)*(MONTH(Registres!C$2:C$500)=$C$2)*(YEAR(Registres!C$2:C$500)=$E$2)*(TEXT(Registres!F$2:F$500,"0")=TEXT($A9,"0")))&gt;0,"✓",""),"")</f>
        <v/>
      </c>
      <c r="R9" s="17" t="str">
        <f aca="false">IF(15&lt;=DAY(EOMONTH(DATE($E$2,$C$2,1),0)),IF(SUMPRODUCT((DAY(Registres!C$2:C$500)=15)*(MONTH(Registres!C$2:C$500)=$C$2)*(YEAR(Registres!C$2:C$500)=$E$2)*(TEXT(Registres!F$2:F$500,"0")=TEXT($A9,"0")))&gt;0,"✓",""),"")</f>
        <v/>
      </c>
      <c r="S9" s="17" t="str">
        <f aca="false">IF(16&lt;=DAY(EOMONTH(DATE($E$2,$C$2,1),0)),IF(SUMPRODUCT((DAY(Registres!C$2:C$500)=16)*(MONTH(Registres!C$2:C$500)=$C$2)*(YEAR(Registres!C$2:C$500)=$E$2)*(TEXT(Registres!F$2:F$500,"0")=TEXT($A9,"0")))&gt;0,"✓",""),"")</f>
        <v/>
      </c>
      <c r="T9" s="17" t="str">
        <f aca="false">IF(17&lt;=DAY(EOMONTH(DATE($E$2,$C$2,1),0)),IF(SUMPRODUCT((DAY(Registres!C$2:C$500)=17)*(MONTH(Registres!C$2:C$500)=$C$2)*(YEAR(Registres!C$2:C$500)=$E$2)*(TEXT(Registres!F$2:F$500,"0")=TEXT($A9,"0")))&gt;0,"✓",""),"")</f>
        <v/>
      </c>
      <c r="U9" s="17" t="str">
        <f aca="false">IF(18&lt;=DAY(EOMONTH(DATE($E$2,$C$2,1),0)),IF(SUMPRODUCT((DAY(Registres!C$2:C$500)=18)*(MONTH(Registres!C$2:C$500)=$C$2)*(YEAR(Registres!C$2:C$500)=$E$2)*(TEXT(Registres!F$2:F$500,"0")=TEXT($A9,"0")))&gt;0,"✓",""),"")</f>
        <v/>
      </c>
      <c r="V9" s="17" t="str">
        <f aca="false">IF(19&lt;=DAY(EOMONTH(DATE($E$2,$C$2,1),0)),IF(SUMPRODUCT((DAY(Registres!C$2:C$500)=19)*(MONTH(Registres!C$2:C$500)=$C$2)*(YEAR(Registres!C$2:C$500)=$E$2)*(TEXT(Registres!F$2:F$500,"0")=TEXT($A9,"0")))&gt;0,"✓",""),"")</f>
        <v/>
      </c>
      <c r="W9" s="17" t="str">
        <f aca="false">IF(20&lt;=DAY(EOMONTH(DATE($E$2,$C$2,1),0)),IF(SUMPRODUCT((DAY(Registres!C$2:C$500)=20)*(MONTH(Registres!C$2:C$500)=$C$2)*(YEAR(Registres!C$2:C$500)=$E$2)*(TEXT(Registres!F$2:F$500,"0")=TEXT($A9,"0")))&gt;0,"✓",""),"")</f>
        <v/>
      </c>
      <c r="X9" s="17" t="str">
        <f aca="false">IF(21&lt;=DAY(EOMONTH(DATE($E$2,$C$2,1),0)),IF(SUMPRODUCT((DAY(Registres!C$2:C$500)=21)*(MONTH(Registres!C$2:C$500)=$C$2)*(YEAR(Registres!C$2:C$500)=$E$2)*(TEXT(Registres!F$2:F$500,"0")=TEXT($A9,"0")))&gt;0,"✓",""),"")</f>
        <v/>
      </c>
      <c r="Y9" s="17" t="str">
        <f aca="false">IF(22&lt;=DAY(EOMONTH(DATE($E$2,$C$2,1),0)),IF(SUMPRODUCT((DAY(Registres!C$2:C$500)=22)*(MONTH(Registres!C$2:C$500)=$C$2)*(YEAR(Registres!C$2:C$500)=$E$2)*(TEXT(Registres!F$2:F$500,"0")=TEXT($A9,"0")))&gt;0,"✓",""),"")</f>
        <v/>
      </c>
      <c r="Z9" s="17" t="str">
        <f aca="false">IF(23&lt;=DAY(EOMONTH(DATE($E$2,$C$2,1),0)),IF(SUMPRODUCT((DAY(Registres!C$2:C$500)=23)*(MONTH(Registres!C$2:C$500)=$C$2)*(YEAR(Registres!C$2:C$500)=$E$2)*(TEXT(Registres!F$2:F$500,"0")=TEXT($A9,"0")))&gt;0,"✓",""),"")</f>
        <v/>
      </c>
      <c r="AA9" s="17" t="str">
        <f aca="false">IF(24&lt;=DAY(EOMONTH(DATE($E$2,$C$2,1),0)),IF(SUMPRODUCT((DAY(Registres!C$2:C$500)=24)*(MONTH(Registres!C$2:C$500)=$C$2)*(YEAR(Registres!C$2:C$500)=$E$2)*(TEXT(Registres!F$2:F$500,"0")=TEXT($A9,"0")))&gt;0,"✓",""),"")</f>
        <v/>
      </c>
      <c r="AB9" s="17" t="str">
        <f aca="false">IF(25&lt;=DAY(EOMONTH(DATE($E$2,$C$2,1),0)),IF(SUMPRODUCT((DAY(Registres!C$2:C$500)=25)*(MONTH(Registres!C$2:C$500)=$C$2)*(YEAR(Registres!C$2:C$500)=$E$2)*(TEXT(Registres!F$2:F$500,"0")=TEXT($A9,"0")))&gt;0,"✓",""),"")</f>
        <v/>
      </c>
      <c r="AC9" s="17" t="str">
        <f aca="false">IF(26&lt;=DAY(EOMONTH(DATE($E$2,$C$2,1),0)),IF(SUMPRODUCT((DAY(Registres!C$2:C$500)=26)*(MONTH(Registres!C$2:C$500)=$C$2)*(YEAR(Registres!C$2:C$500)=$E$2)*(TEXT(Registres!F$2:F$500,"0")=TEXT($A9,"0")))&gt;0,"✓",""),"")</f>
        <v/>
      </c>
      <c r="AD9" s="17" t="str">
        <f aca="false">IF(27&lt;=DAY(EOMONTH(DATE($E$2,$C$2,1),0)),IF(SUMPRODUCT((DAY(Registres!C$2:C$500)=27)*(MONTH(Registres!C$2:C$500)=$C$2)*(YEAR(Registres!C$2:C$500)=$E$2)*(TEXT(Registres!F$2:F$500,"0")=TEXT($A9,"0")))&gt;0,"✓",""),"")</f>
        <v/>
      </c>
      <c r="AE9" s="17" t="str">
        <f aca="false">IF(28&lt;=DAY(EOMONTH(DATE($E$2,$C$2,1),0)),IF(SUMPRODUCT((DAY(Registres!C$2:C$500)=28)*(MONTH(Registres!C$2:C$500)=$C$2)*(YEAR(Registres!C$2:C$500)=$E$2)*(TEXT(Registres!F$2:F$500,"0")=TEXT($A9,"0")))&gt;0,"✓",""),"")</f>
        <v/>
      </c>
      <c r="AF9" s="17" t="str">
        <f aca="false">IF(29&lt;=DAY(EOMONTH(DATE($E$2,$C$2,1),0)),IF(SUMPRODUCT((DAY(Registres!C$2:C$500)=29)*(MONTH(Registres!C$2:C$500)=$C$2)*(YEAR(Registres!C$2:C$500)=$E$2)*(TEXT(Registres!F$2:F$500,"0")=TEXT($A9,"0")))&gt;0,"✓",""),"")</f>
        <v/>
      </c>
      <c r="AG9" s="17" t="str">
        <f aca="false">IF(30&lt;=DAY(EOMONTH(DATE($E$2,$C$2,1),0)),IF(SUMPRODUCT((DAY(Registres!C$2:C$500)=30)*(MONTH(Registres!C$2:C$500)=$C$2)*(YEAR(Registres!C$2:C$500)=$E$2)*(TEXT(Registres!F$2:F$500,"0")=TEXT($A9,"0")))&gt;0,"✓",""),"")</f>
        <v/>
      </c>
      <c r="AH9" s="17" t="str">
        <f aca="false">IF(31&lt;=DAY(EOMONTH(DATE($E$2,$C$2,1),0)),IF(SUMPRODUCT((DAY(Registres!C$2:C$500)=31)*(MONTH(Registres!C$2:C$500)=$C$2)*(YEAR(Registres!C$2:C$500)=$E$2)*(TEXT(Registres!F$2:F$500,"0")=TEXT($A9,"0")))&gt;0,"✓",""),"")</f>
        <v/>
      </c>
      <c r="AI9" s="18" t="n">
        <f aca="false">COUNTIF(D9:AH9,"✓")</f>
        <v>0</v>
      </c>
    </row>
    <row r="10" customFormat="false" ht="15" hidden="false" customHeight="false" outlineLevel="0" collapsed="false">
      <c r="A10" s="19" t="n">
        <v>6</v>
      </c>
      <c r="B10" s="20" t="s">
        <v>118</v>
      </c>
      <c r="C10" s="21" t="s">
        <v>113</v>
      </c>
      <c r="D10" s="17" t="str">
        <f aca="false">IF(1&lt;=DAY(EOMONTH(DATE($E$2,$C$2,1),0)),IF(SUMPRODUCT((DAY(Registres!C$2:C$500)=1)*(MONTH(Registres!C$2:C$500)=$C$2)*(YEAR(Registres!C$2:C$500)=$E$2)*(TEXT(Registres!F$2:F$500,"0")=TEXT($A10,"0")))&gt;0,"✓",""),"")</f>
        <v/>
      </c>
      <c r="E10" s="17" t="str">
        <f aca="false">IF(2&lt;=DAY(EOMONTH(DATE($E$2,$C$2,1),0)),IF(SUMPRODUCT((DAY(Registres!C$2:C$500)=2)*(MONTH(Registres!C$2:C$500)=$C$2)*(YEAR(Registres!C$2:C$500)=$E$2)*(TEXT(Registres!F$2:F$500,"0")=TEXT($A10,"0")))&gt;0,"✓",""),"")</f>
        <v/>
      </c>
      <c r="F10" s="17" t="str">
        <f aca="false">IF(3&lt;=DAY(EOMONTH(DATE($E$2,$C$2,1),0)),IF(SUMPRODUCT((DAY(Registres!C$2:C$500)=3)*(MONTH(Registres!C$2:C$500)=$C$2)*(YEAR(Registres!C$2:C$500)=$E$2)*(TEXT(Registres!F$2:F$500,"0")=TEXT($A10,"0")))&gt;0,"✓",""),"")</f>
        <v/>
      </c>
      <c r="G10" s="17" t="str">
        <f aca="false">IF(4&lt;=DAY(EOMONTH(DATE($E$2,$C$2,1),0)),IF(SUMPRODUCT((DAY(Registres!C$2:C$500)=4)*(MONTH(Registres!C$2:C$500)=$C$2)*(YEAR(Registres!C$2:C$500)=$E$2)*(TEXT(Registres!F$2:F$500,"0")=TEXT($A10,"0")))&gt;0,"✓",""),"")</f>
        <v/>
      </c>
      <c r="H10" s="17" t="str">
        <f aca="false">IF(5&lt;=DAY(EOMONTH(DATE($E$2,$C$2,1),0)),IF(SUMPRODUCT((DAY(Registres!C$2:C$500)=5)*(MONTH(Registres!C$2:C$500)=$C$2)*(YEAR(Registres!C$2:C$500)=$E$2)*(TEXT(Registres!F$2:F$500,"0")=TEXT($A10,"0")))&gt;0,"✓",""),"")</f>
        <v/>
      </c>
      <c r="I10" s="17" t="str">
        <f aca="false">IF(6&lt;=DAY(EOMONTH(DATE($E$2,$C$2,1),0)),IF(SUMPRODUCT((DAY(Registres!C$2:C$500)=6)*(MONTH(Registres!C$2:C$500)=$C$2)*(YEAR(Registres!C$2:C$500)=$E$2)*(TEXT(Registres!F$2:F$500,"0")=TEXT($A10,"0")))&gt;0,"✓",""),"")</f>
        <v/>
      </c>
      <c r="J10" s="17" t="str">
        <f aca="false">IF(7&lt;=DAY(EOMONTH(DATE($E$2,$C$2,1),0)),IF(SUMPRODUCT((DAY(Registres!C$2:C$500)=7)*(MONTH(Registres!C$2:C$500)=$C$2)*(YEAR(Registres!C$2:C$500)=$E$2)*(TEXT(Registres!F$2:F$500,"0")=TEXT($A10,"0")))&gt;0,"✓",""),"")</f>
        <v/>
      </c>
      <c r="K10" s="17" t="str">
        <f aca="false">IF(8&lt;=DAY(EOMONTH(DATE($E$2,$C$2,1),0)),IF(SUMPRODUCT((DAY(Registres!C$2:C$500)=8)*(MONTH(Registres!C$2:C$500)=$C$2)*(YEAR(Registres!C$2:C$500)=$E$2)*(TEXT(Registres!F$2:F$500,"0")=TEXT($A10,"0")))&gt;0,"✓",""),"")</f>
        <v/>
      </c>
      <c r="L10" s="17" t="str">
        <f aca="false">IF(9&lt;=DAY(EOMONTH(DATE($E$2,$C$2,1),0)),IF(SUMPRODUCT((DAY(Registres!C$2:C$500)=9)*(MONTH(Registres!C$2:C$500)=$C$2)*(YEAR(Registres!C$2:C$500)=$E$2)*(TEXT(Registres!F$2:F$500,"0")=TEXT($A10,"0")))&gt;0,"✓",""),"")</f>
        <v/>
      </c>
      <c r="M10" s="17" t="str">
        <f aca="false">IF(10&lt;=DAY(EOMONTH(DATE($E$2,$C$2,1),0)),IF(SUMPRODUCT((DAY(Registres!C$2:C$500)=10)*(MONTH(Registres!C$2:C$500)=$C$2)*(YEAR(Registres!C$2:C$500)=$E$2)*(TEXT(Registres!F$2:F$500,"0")=TEXT($A10,"0")))&gt;0,"✓",""),"")</f>
        <v/>
      </c>
      <c r="N10" s="17" t="str">
        <f aca="false">IF(11&lt;=DAY(EOMONTH(DATE($E$2,$C$2,1),0)),IF(SUMPRODUCT((DAY(Registres!C$2:C$500)=11)*(MONTH(Registres!C$2:C$500)=$C$2)*(YEAR(Registres!C$2:C$500)=$E$2)*(TEXT(Registres!F$2:F$500,"0")=TEXT($A10,"0")))&gt;0,"✓",""),"")</f>
        <v/>
      </c>
      <c r="O10" s="17" t="str">
        <f aca="false">IF(12&lt;=DAY(EOMONTH(DATE($E$2,$C$2,1),0)),IF(SUMPRODUCT((DAY(Registres!C$2:C$500)=12)*(MONTH(Registres!C$2:C$500)=$C$2)*(YEAR(Registres!C$2:C$500)=$E$2)*(TEXT(Registres!F$2:F$500,"0")=TEXT($A10,"0")))&gt;0,"✓",""),"")</f>
        <v/>
      </c>
      <c r="P10" s="17" t="str">
        <f aca="false">IF(13&lt;=DAY(EOMONTH(DATE($E$2,$C$2,1),0)),IF(SUMPRODUCT((DAY(Registres!C$2:C$500)=13)*(MONTH(Registres!C$2:C$500)=$C$2)*(YEAR(Registres!C$2:C$500)=$E$2)*(TEXT(Registres!F$2:F$500,"0")=TEXT($A10,"0")))&gt;0,"✓",""),"")</f>
        <v/>
      </c>
      <c r="Q10" s="17" t="str">
        <f aca="false">IF(14&lt;=DAY(EOMONTH(DATE($E$2,$C$2,1),0)),IF(SUMPRODUCT((DAY(Registres!C$2:C$500)=14)*(MONTH(Registres!C$2:C$500)=$C$2)*(YEAR(Registres!C$2:C$500)=$E$2)*(TEXT(Registres!F$2:F$500,"0")=TEXT($A10,"0")))&gt;0,"✓",""),"")</f>
        <v/>
      </c>
      <c r="R10" s="17" t="str">
        <f aca="false">IF(15&lt;=DAY(EOMONTH(DATE($E$2,$C$2,1),0)),IF(SUMPRODUCT((DAY(Registres!C$2:C$500)=15)*(MONTH(Registres!C$2:C$500)=$C$2)*(YEAR(Registres!C$2:C$500)=$E$2)*(TEXT(Registres!F$2:F$500,"0")=TEXT($A10,"0")))&gt;0,"✓",""),"")</f>
        <v/>
      </c>
      <c r="S10" s="17" t="str">
        <f aca="false">IF(16&lt;=DAY(EOMONTH(DATE($E$2,$C$2,1),0)),IF(SUMPRODUCT((DAY(Registres!C$2:C$500)=16)*(MONTH(Registres!C$2:C$500)=$C$2)*(YEAR(Registres!C$2:C$500)=$E$2)*(TEXT(Registres!F$2:F$500,"0")=TEXT($A10,"0")))&gt;0,"✓",""),"")</f>
        <v/>
      </c>
      <c r="T10" s="17" t="str">
        <f aca="false">IF(17&lt;=DAY(EOMONTH(DATE($E$2,$C$2,1),0)),IF(SUMPRODUCT((DAY(Registres!C$2:C$500)=17)*(MONTH(Registres!C$2:C$500)=$C$2)*(YEAR(Registres!C$2:C$500)=$E$2)*(TEXT(Registres!F$2:F$500,"0")=TEXT($A10,"0")))&gt;0,"✓",""),"")</f>
        <v/>
      </c>
      <c r="U10" s="17" t="str">
        <f aca="false">IF(18&lt;=DAY(EOMONTH(DATE($E$2,$C$2,1),0)),IF(SUMPRODUCT((DAY(Registres!C$2:C$500)=18)*(MONTH(Registres!C$2:C$500)=$C$2)*(YEAR(Registres!C$2:C$500)=$E$2)*(TEXT(Registres!F$2:F$500,"0")=TEXT($A10,"0")))&gt;0,"✓",""),"")</f>
        <v/>
      </c>
      <c r="V10" s="17" t="str">
        <f aca="false">IF(19&lt;=DAY(EOMONTH(DATE($E$2,$C$2,1),0)),IF(SUMPRODUCT((DAY(Registres!C$2:C$500)=19)*(MONTH(Registres!C$2:C$500)=$C$2)*(YEAR(Registres!C$2:C$500)=$E$2)*(TEXT(Registres!F$2:F$500,"0")=TEXT($A10,"0")))&gt;0,"✓",""),"")</f>
        <v/>
      </c>
      <c r="W10" s="17" t="str">
        <f aca="false">IF(20&lt;=DAY(EOMONTH(DATE($E$2,$C$2,1),0)),IF(SUMPRODUCT((DAY(Registres!C$2:C$500)=20)*(MONTH(Registres!C$2:C$500)=$C$2)*(YEAR(Registres!C$2:C$500)=$E$2)*(TEXT(Registres!F$2:F$500,"0")=TEXT($A10,"0")))&gt;0,"✓",""),"")</f>
        <v/>
      </c>
      <c r="X10" s="17" t="str">
        <f aca="false">IF(21&lt;=DAY(EOMONTH(DATE($E$2,$C$2,1),0)),IF(SUMPRODUCT((DAY(Registres!C$2:C$500)=21)*(MONTH(Registres!C$2:C$500)=$C$2)*(YEAR(Registres!C$2:C$500)=$E$2)*(TEXT(Registres!F$2:F$500,"0")=TEXT($A10,"0")))&gt;0,"✓",""),"")</f>
        <v/>
      </c>
      <c r="Y10" s="17" t="str">
        <f aca="false">IF(22&lt;=DAY(EOMONTH(DATE($E$2,$C$2,1),0)),IF(SUMPRODUCT((DAY(Registres!C$2:C$500)=22)*(MONTH(Registres!C$2:C$500)=$C$2)*(YEAR(Registres!C$2:C$500)=$E$2)*(TEXT(Registres!F$2:F$500,"0")=TEXT($A10,"0")))&gt;0,"✓",""),"")</f>
        <v/>
      </c>
      <c r="Z10" s="17" t="str">
        <f aca="false">IF(23&lt;=DAY(EOMONTH(DATE($E$2,$C$2,1),0)),IF(SUMPRODUCT((DAY(Registres!C$2:C$500)=23)*(MONTH(Registres!C$2:C$500)=$C$2)*(YEAR(Registres!C$2:C$500)=$E$2)*(TEXT(Registres!F$2:F$500,"0")=TEXT($A10,"0")))&gt;0,"✓",""),"")</f>
        <v/>
      </c>
      <c r="AA10" s="17" t="str">
        <f aca="false">IF(24&lt;=DAY(EOMONTH(DATE($E$2,$C$2,1),0)),IF(SUMPRODUCT((DAY(Registres!C$2:C$500)=24)*(MONTH(Registres!C$2:C$500)=$C$2)*(YEAR(Registres!C$2:C$500)=$E$2)*(TEXT(Registres!F$2:F$500,"0")=TEXT($A10,"0")))&gt;0,"✓",""),"")</f>
        <v/>
      </c>
      <c r="AB10" s="17" t="str">
        <f aca="false">IF(25&lt;=DAY(EOMONTH(DATE($E$2,$C$2,1),0)),IF(SUMPRODUCT((DAY(Registres!C$2:C$500)=25)*(MONTH(Registres!C$2:C$500)=$C$2)*(YEAR(Registres!C$2:C$500)=$E$2)*(TEXT(Registres!F$2:F$500,"0")=TEXT($A10,"0")))&gt;0,"✓",""),"")</f>
        <v/>
      </c>
      <c r="AC10" s="17" t="str">
        <f aca="false">IF(26&lt;=DAY(EOMONTH(DATE($E$2,$C$2,1),0)),IF(SUMPRODUCT((DAY(Registres!C$2:C$500)=26)*(MONTH(Registres!C$2:C$500)=$C$2)*(YEAR(Registres!C$2:C$500)=$E$2)*(TEXT(Registres!F$2:F$500,"0")=TEXT($A10,"0")))&gt;0,"✓",""),"")</f>
        <v/>
      </c>
      <c r="AD10" s="17" t="str">
        <f aca="false">IF(27&lt;=DAY(EOMONTH(DATE($E$2,$C$2,1),0)),IF(SUMPRODUCT((DAY(Registres!C$2:C$500)=27)*(MONTH(Registres!C$2:C$500)=$C$2)*(YEAR(Registres!C$2:C$500)=$E$2)*(TEXT(Registres!F$2:F$500,"0")=TEXT($A10,"0")))&gt;0,"✓",""),"")</f>
        <v/>
      </c>
      <c r="AE10" s="17" t="str">
        <f aca="false">IF(28&lt;=DAY(EOMONTH(DATE($E$2,$C$2,1),0)),IF(SUMPRODUCT((DAY(Registres!C$2:C$500)=28)*(MONTH(Registres!C$2:C$500)=$C$2)*(YEAR(Registres!C$2:C$500)=$E$2)*(TEXT(Registres!F$2:F$500,"0")=TEXT($A10,"0")))&gt;0,"✓",""),"")</f>
        <v/>
      </c>
      <c r="AF10" s="17" t="str">
        <f aca="false">IF(29&lt;=DAY(EOMONTH(DATE($E$2,$C$2,1),0)),IF(SUMPRODUCT((DAY(Registres!C$2:C$500)=29)*(MONTH(Registres!C$2:C$500)=$C$2)*(YEAR(Registres!C$2:C$500)=$E$2)*(TEXT(Registres!F$2:F$500,"0")=TEXT($A10,"0")))&gt;0,"✓",""),"")</f>
        <v/>
      </c>
      <c r="AG10" s="17" t="str">
        <f aca="false">IF(30&lt;=DAY(EOMONTH(DATE($E$2,$C$2,1),0)),IF(SUMPRODUCT((DAY(Registres!C$2:C$500)=30)*(MONTH(Registres!C$2:C$500)=$C$2)*(YEAR(Registres!C$2:C$500)=$E$2)*(TEXT(Registres!F$2:F$500,"0")=TEXT($A10,"0")))&gt;0,"✓",""),"")</f>
        <v/>
      </c>
      <c r="AH10" s="17" t="str">
        <f aca="false">IF(31&lt;=DAY(EOMONTH(DATE($E$2,$C$2,1),0)),IF(SUMPRODUCT((DAY(Registres!C$2:C$500)=31)*(MONTH(Registres!C$2:C$500)=$C$2)*(YEAR(Registres!C$2:C$500)=$E$2)*(TEXT(Registres!F$2:F$500,"0")=TEXT($A10,"0")))&gt;0,"✓",""),"")</f>
        <v/>
      </c>
      <c r="AI10" s="18" t="n">
        <f aca="false">COUNTIF(D10:AH10,"✓")</f>
        <v>0</v>
      </c>
    </row>
    <row r="11" customFormat="false" ht="15" hidden="false" customHeight="false" outlineLevel="0" collapsed="false">
      <c r="A11" s="14" t="n">
        <v>7</v>
      </c>
      <c r="B11" s="15" t="s">
        <v>119</v>
      </c>
      <c r="C11" s="16" t="s">
        <v>113</v>
      </c>
      <c r="D11" s="17" t="str">
        <f aca="false">IF(1&lt;=DAY(EOMONTH(DATE($E$2,$C$2,1),0)),IF(SUMPRODUCT((DAY(Registres!C$2:C$500)=1)*(MONTH(Registres!C$2:C$500)=$C$2)*(YEAR(Registres!C$2:C$500)=$E$2)*(TEXT(Registres!F$2:F$500,"0")=TEXT($A11,"0")))&gt;0,"✓",""),"")</f>
        <v/>
      </c>
      <c r="E11" s="17" t="str">
        <f aca="false">IF(2&lt;=DAY(EOMONTH(DATE($E$2,$C$2,1),0)),IF(SUMPRODUCT((DAY(Registres!C$2:C$500)=2)*(MONTH(Registres!C$2:C$500)=$C$2)*(YEAR(Registres!C$2:C$500)=$E$2)*(TEXT(Registres!F$2:F$500,"0")=TEXT($A11,"0")))&gt;0,"✓",""),"")</f>
        <v/>
      </c>
      <c r="F11" s="17" t="str">
        <f aca="false">IF(3&lt;=DAY(EOMONTH(DATE($E$2,$C$2,1),0)),IF(SUMPRODUCT((DAY(Registres!C$2:C$500)=3)*(MONTH(Registres!C$2:C$500)=$C$2)*(YEAR(Registres!C$2:C$500)=$E$2)*(TEXT(Registres!F$2:F$500,"0")=TEXT($A11,"0")))&gt;0,"✓",""),"")</f>
        <v/>
      </c>
      <c r="G11" s="17" t="str">
        <f aca="false">IF(4&lt;=DAY(EOMONTH(DATE($E$2,$C$2,1),0)),IF(SUMPRODUCT((DAY(Registres!C$2:C$500)=4)*(MONTH(Registres!C$2:C$500)=$C$2)*(YEAR(Registres!C$2:C$500)=$E$2)*(TEXT(Registres!F$2:F$500,"0")=TEXT($A11,"0")))&gt;0,"✓",""),"")</f>
        <v/>
      </c>
      <c r="H11" s="17" t="str">
        <f aca="false">IF(5&lt;=DAY(EOMONTH(DATE($E$2,$C$2,1),0)),IF(SUMPRODUCT((DAY(Registres!C$2:C$500)=5)*(MONTH(Registres!C$2:C$500)=$C$2)*(YEAR(Registres!C$2:C$500)=$E$2)*(TEXT(Registres!F$2:F$500,"0")=TEXT($A11,"0")))&gt;0,"✓",""),"")</f>
        <v/>
      </c>
      <c r="I11" s="17" t="str">
        <f aca="false">IF(6&lt;=DAY(EOMONTH(DATE($E$2,$C$2,1),0)),IF(SUMPRODUCT((DAY(Registres!C$2:C$500)=6)*(MONTH(Registres!C$2:C$500)=$C$2)*(YEAR(Registres!C$2:C$500)=$E$2)*(TEXT(Registres!F$2:F$500,"0")=TEXT($A11,"0")))&gt;0,"✓",""),"")</f>
        <v/>
      </c>
      <c r="J11" s="17" t="str">
        <f aca="false">IF(7&lt;=DAY(EOMONTH(DATE($E$2,$C$2,1),0)),IF(SUMPRODUCT((DAY(Registres!C$2:C$500)=7)*(MONTH(Registres!C$2:C$500)=$C$2)*(YEAR(Registres!C$2:C$500)=$E$2)*(TEXT(Registres!F$2:F$500,"0")=TEXT($A11,"0")))&gt;0,"✓",""),"")</f>
        <v/>
      </c>
      <c r="K11" s="17" t="str">
        <f aca="false">IF(8&lt;=DAY(EOMONTH(DATE($E$2,$C$2,1),0)),IF(SUMPRODUCT((DAY(Registres!C$2:C$500)=8)*(MONTH(Registres!C$2:C$500)=$C$2)*(YEAR(Registres!C$2:C$500)=$E$2)*(TEXT(Registres!F$2:F$500,"0")=TEXT($A11,"0")))&gt;0,"✓",""),"")</f>
        <v/>
      </c>
      <c r="L11" s="17" t="str">
        <f aca="false">IF(9&lt;=DAY(EOMONTH(DATE($E$2,$C$2,1),0)),IF(SUMPRODUCT((DAY(Registres!C$2:C$500)=9)*(MONTH(Registres!C$2:C$500)=$C$2)*(YEAR(Registres!C$2:C$500)=$E$2)*(TEXT(Registres!F$2:F$500,"0")=TEXT($A11,"0")))&gt;0,"✓",""),"")</f>
        <v/>
      </c>
      <c r="M11" s="17" t="str">
        <f aca="false">IF(10&lt;=DAY(EOMONTH(DATE($E$2,$C$2,1),0)),IF(SUMPRODUCT((DAY(Registres!C$2:C$500)=10)*(MONTH(Registres!C$2:C$500)=$C$2)*(YEAR(Registres!C$2:C$500)=$E$2)*(TEXT(Registres!F$2:F$500,"0")=TEXT($A11,"0")))&gt;0,"✓",""),"")</f>
        <v/>
      </c>
      <c r="N11" s="17" t="str">
        <f aca="false">IF(11&lt;=DAY(EOMONTH(DATE($E$2,$C$2,1),0)),IF(SUMPRODUCT((DAY(Registres!C$2:C$500)=11)*(MONTH(Registres!C$2:C$500)=$C$2)*(YEAR(Registres!C$2:C$500)=$E$2)*(TEXT(Registres!F$2:F$500,"0")=TEXT($A11,"0")))&gt;0,"✓",""),"")</f>
        <v/>
      </c>
      <c r="O11" s="17" t="str">
        <f aca="false">IF(12&lt;=DAY(EOMONTH(DATE($E$2,$C$2,1),0)),IF(SUMPRODUCT((DAY(Registres!C$2:C$500)=12)*(MONTH(Registres!C$2:C$500)=$C$2)*(YEAR(Registres!C$2:C$500)=$E$2)*(TEXT(Registres!F$2:F$500,"0")=TEXT($A11,"0")))&gt;0,"✓",""),"")</f>
        <v/>
      </c>
      <c r="P11" s="17" t="str">
        <f aca="false">IF(13&lt;=DAY(EOMONTH(DATE($E$2,$C$2,1),0)),IF(SUMPRODUCT((DAY(Registres!C$2:C$500)=13)*(MONTH(Registres!C$2:C$500)=$C$2)*(YEAR(Registres!C$2:C$500)=$E$2)*(TEXT(Registres!F$2:F$500,"0")=TEXT($A11,"0")))&gt;0,"✓",""),"")</f>
        <v/>
      </c>
      <c r="Q11" s="17" t="str">
        <f aca="false">IF(14&lt;=DAY(EOMONTH(DATE($E$2,$C$2,1),0)),IF(SUMPRODUCT((DAY(Registres!C$2:C$500)=14)*(MONTH(Registres!C$2:C$500)=$C$2)*(YEAR(Registres!C$2:C$500)=$E$2)*(TEXT(Registres!F$2:F$500,"0")=TEXT($A11,"0")))&gt;0,"✓",""),"")</f>
        <v/>
      </c>
      <c r="R11" s="17" t="str">
        <f aca="false">IF(15&lt;=DAY(EOMONTH(DATE($E$2,$C$2,1),0)),IF(SUMPRODUCT((DAY(Registres!C$2:C$500)=15)*(MONTH(Registres!C$2:C$500)=$C$2)*(YEAR(Registres!C$2:C$500)=$E$2)*(TEXT(Registres!F$2:F$500,"0")=TEXT($A11,"0")))&gt;0,"✓",""),"")</f>
        <v/>
      </c>
      <c r="S11" s="17" t="str">
        <f aca="false">IF(16&lt;=DAY(EOMONTH(DATE($E$2,$C$2,1),0)),IF(SUMPRODUCT((DAY(Registres!C$2:C$500)=16)*(MONTH(Registres!C$2:C$500)=$C$2)*(YEAR(Registres!C$2:C$500)=$E$2)*(TEXT(Registres!F$2:F$500,"0")=TEXT($A11,"0")))&gt;0,"✓",""),"")</f>
        <v/>
      </c>
      <c r="T11" s="17" t="str">
        <f aca="false">IF(17&lt;=DAY(EOMONTH(DATE($E$2,$C$2,1),0)),IF(SUMPRODUCT((DAY(Registres!C$2:C$500)=17)*(MONTH(Registres!C$2:C$500)=$C$2)*(YEAR(Registres!C$2:C$500)=$E$2)*(TEXT(Registres!F$2:F$500,"0")=TEXT($A11,"0")))&gt;0,"✓",""),"")</f>
        <v/>
      </c>
      <c r="U11" s="17" t="str">
        <f aca="false">IF(18&lt;=DAY(EOMONTH(DATE($E$2,$C$2,1),0)),IF(SUMPRODUCT((DAY(Registres!C$2:C$500)=18)*(MONTH(Registres!C$2:C$500)=$C$2)*(YEAR(Registres!C$2:C$500)=$E$2)*(TEXT(Registres!F$2:F$500,"0")=TEXT($A11,"0")))&gt;0,"✓",""),"")</f>
        <v/>
      </c>
      <c r="V11" s="17" t="str">
        <f aca="false">IF(19&lt;=DAY(EOMONTH(DATE($E$2,$C$2,1),0)),IF(SUMPRODUCT((DAY(Registres!C$2:C$500)=19)*(MONTH(Registres!C$2:C$500)=$C$2)*(YEAR(Registres!C$2:C$500)=$E$2)*(TEXT(Registres!F$2:F$500,"0")=TEXT($A11,"0")))&gt;0,"✓",""),"")</f>
        <v/>
      </c>
      <c r="W11" s="17" t="str">
        <f aca="false">IF(20&lt;=DAY(EOMONTH(DATE($E$2,$C$2,1),0)),IF(SUMPRODUCT((DAY(Registres!C$2:C$500)=20)*(MONTH(Registres!C$2:C$500)=$C$2)*(YEAR(Registres!C$2:C$500)=$E$2)*(TEXT(Registres!F$2:F$500,"0")=TEXT($A11,"0")))&gt;0,"✓",""),"")</f>
        <v/>
      </c>
      <c r="X11" s="17" t="str">
        <f aca="false">IF(21&lt;=DAY(EOMONTH(DATE($E$2,$C$2,1),0)),IF(SUMPRODUCT((DAY(Registres!C$2:C$500)=21)*(MONTH(Registres!C$2:C$500)=$C$2)*(YEAR(Registres!C$2:C$500)=$E$2)*(TEXT(Registres!F$2:F$500,"0")=TEXT($A11,"0")))&gt;0,"✓",""),"")</f>
        <v/>
      </c>
      <c r="Y11" s="17" t="str">
        <f aca="false">IF(22&lt;=DAY(EOMONTH(DATE($E$2,$C$2,1),0)),IF(SUMPRODUCT((DAY(Registres!C$2:C$500)=22)*(MONTH(Registres!C$2:C$500)=$C$2)*(YEAR(Registres!C$2:C$500)=$E$2)*(TEXT(Registres!F$2:F$500,"0")=TEXT($A11,"0")))&gt;0,"✓",""),"")</f>
        <v/>
      </c>
      <c r="Z11" s="17" t="str">
        <f aca="false">IF(23&lt;=DAY(EOMONTH(DATE($E$2,$C$2,1),0)),IF(SUMPRODUCT((DAY(Registres!C$2:C$500)=23)*(MONTH(Registres!C$2:C$500)=$C$2)*(YEAR(Registres!C$2:C$500)=$E$2)*(TEXT(Registres!F$2:F$500,"0")=TEXT($A11,"0")))&gt;0,"✓",""),"")</f>
        <v/>
      </c>
      <c r="AA11" s="17" t="str">
        <f aca="false">IF(24&lt;=DAY(EOMONTH(DATE($E$2,$C$2,1),0)),IF(SUMPRODUCT((DAY(Registres!C$2:C$500)=24)*(MONTH(Registres!C$2:C$500)=$C$2)*(YEAR(Registres!C$2:C$500)=$E$2)*(TEXT(Registres!F$2:F$500,"0")=TEXT($A11,"0")))&gt;0,"✓",""),"")</f>
        <v/>
      </c>
      <c r="AB11" s="17" t="str">
        <f aca="false">IF(25&lt;=DAY(EOMONTH(DATE($E$2,$C$2,1),0)),IF(SUMPRODUCT((DAY(Registres!C$2:C$500)=25)*(MONTH(Registres!C$2:C$500)=$C$2)*(YEAR(Registres!C$2:C$500)=$E$2)*(TEXT(Registres!F$2:F$500,"0")=TEXT($A11,"0")))&gt;0,"✓",""),"")</f>
        <v/>
      </c>
      <c r="AC11" s="17" t="str">
        <f aca="false">IF(26&lt;=DAY(EOMONTH(DATE($E$2,$C$2,1),0)),IF(SUMPRODUCT((DAY(Registres!C$2:C$500)=26)*(MONTH(Registres!C$2:C$500)=$C$2)*(YEAR(Registres!C$2:C$500)=$E$2)*(TEXT(Registres!F$2:F$500,"0")=TEXT($A11,"0")))&gt;0,"✓",""),"")</f>
        <v/>
      </c>
      <c r="AD11" s="17" t="str">
        <f aca="false">IF(27&lt;=DAY(EOMONTH(DATE($E$2,$C$2,1),0)),IF(SUMPRODUCT((DAY(Registres!C$2:C$500)=27)*(MONTH(Registres!C$2:C$500)=$C$2)*(YEAR(Registres!C$2:C$500)=$E$2)*(TEXT(Registres!F$2:F$500,"0")=TEXT($A11,"0")))&gt;0,"✓",""),"")</f>
        <v/>
      </c>
      <c r="AE11" s="17" t="str">
        <f aca="false">IF(28&lt;=DAY(EOMONTH(DATE($E$2,$C$2,1),0)),IF(SUMPRODUCT((DAY(Registres!C$2:C$500)=28)*(MONTH(Registres!C$2:C$500)=$C$2)*(YEAR(Registres!C$2:C$500)=$E$2)*(TEXT(Registres!F$2:F$500,"0")=TEXT($A11,"0")))&gt;0,"✓",""),"")</f>
        <v/>
      </c>
      <c r="AF11" s="17" t="str">
        <f aca="false">IF(29&lt;=DAY(EOMONTH(DATE($E$2,$C$2,1),0)),IF(SUMPRODUCT((DAY(Registres!C$2:C$500)=29)*(MONTH(Registres!C$2:C$500)=$C$2)*(YEAR(Registres!C$2:C$500)=$E$2)*(TEXT(Registres!F$2:F$500,"0")=TEXT($A11,"0")))&gt;0,"✓",""),"")</f>
        <v/>
      </c>
      <c r="AG11" s="17" t="str">
        <f aca="false">IF(30&lt;=DAY(EOMONTH(DATE($E$2,$C$2,1),0)),IF(SUMPRODUCT((DAY(Registres!C$2:C$500)=30)*(MONTH(Registres!C$2:C$500)=$C$2)*(YEAR(Registres!C$2:C$500)=$E$2)*(TEXT(Registres!F$2:F$500,"0")=TEXT($A11,"0")))&gt;0,"✓",""),"")</f>
        <v/>
      </c>
      <c r="AH11" s="17" t="str">
        <f aca="false">IF(31&lt;=DAY(EOMONTH(DATE($E$2,$C$2,1),0)),IF(SUMPRODUCT((DAY(Registres!C$2:C$500)=31)*(MONTH(Registres!C$2:C$500)=$C$2)*(YEAR(Registres!C$2:C$500)=$E$2)*(TEXT(Registres!F$2:F$500,"0")=TEXT($A11,"0")))&gt;0,"✓",""),"")</f>
        <v/>
      </c>
      <c r="AI11" s="18" t="n">
        <f aca="false">COUNTIF(D11:AH11,"✓")</f>
        <v>0</v>
      </c>
    </row>
    <row r="12" customFormat="false" ht="15" hidden="false" customHeight="false" outlineLevel="0" collapsed="false">
      <c r="A12" s="19" t="n">
        <v>8</v>
      </c>
      <c r="B12" s="20" t="s">
        <v>120</v>
      </c>
      <c r="C12" s="21" t="s">
        <v>113</v>
      </c>
      <c r="D12" s="17" t="str">
        <f aca="false">IF(1&lt;=DAY(EOMONTH(DATE($E$2,$C$2,1),0)),IF(SUMPRODUCT((DAY(Registres!C$2:C$500)=1)*(MONTH(Registres!C$2:C$500)=$C$2)*(YEAR(Registres!C$2:C$500)=$E$2)*(TEXT(Registres!F$2:F$500,"0")=TEXT($A12,"0")))&gt;0,"✓",""),"")</f>
        <v/>
      </c>
      <c r="E12" s="17" t="str">
        <f aca="false">IF(2&lt;=DAY(EOMONTH(DATE($E$2,$C$2,1),0)),IF(SUMPRODUCT((DAY(Registres!C$2:C$500)=2)*(MONTH(Registres!C$2:C$500)=$C$2)*(YEAR(Registres!C$2:C$500)=$E$2)*(TEXT(Registres!F$2:F$500,"0")=TEXT($A12,"0")))&gt;0,"✓",""),"")</f>
        <v/>
      </c>
      <c r="F12" s="17" t="str">
        <f aca="false">IF(3&lt;=DAY(EOMONTH(DATE($E$2,$C$2,1),0)),IF(SUMPRODUCT((DAY(Registres!C$2:C$500)=3)*(MONTH(Registres!C$2:C$500)=$C$2)*(YEAR(Registres!C$2:C$500)=$E$2)*(TEXT(Registres!F$2:F$500,"0")=TEXT($A12,"0")))&gt;0,"✓",""),"")</f>
        <v/>
      </c>
      <c r="G12" s="17" t="str">
        <f aca="false">IF(4&lt;=DAY(EOMONTH(DATE($E$2,$C$2,1),0)),IF(SUMPRODUCT((DAY(Registres!C$2:C$500)=4)*(MONTH(Registres!C$2:C$500)=$C$2)*(YEAR(Registres!C$2:C$500)=$E$2)*(TEXT(Registres!F$2:F$500,"0")=TEXT($A12,"0")))&gt;0,"✓",""),"")</f>
        <v/>
      </c>
      <c r="H12" s="17" t="str">
        <f aca="false">IF(5&lt;=DAY(EOMONTH(DATE($E$2,$C$2,1),0)),IF(SUMPRODUCT((DAY(Registres!C$2:C$500)=5)*(MONTH(Registres!C$2:C$500)=$C$2)*(YEAR(Registres!C$2:C$500)=$E$2)*(TEXT(Registres!F$2:F$500,"0")=TEXT($A12,"0")))&gt;0,"✓",""),"")</f>
        <v/>
      </c>
      <c r="I12" s="17" t="str">
        <f aca="false">IF(6&lt;=DAY(EOMONTH(DATE($E$2,$C$2,1),0)),IF(SUMPRODUCT((DAY(Registres!C$2:C$500)=6)*(MONTH(Registres!C$2:C$500)=$C$2)*(YEAR(Registres!C$2:C$500)=$E$2)*(TEXT(Registres!F$2:F$500,"0")=TEXT($A12,"0")))&gt;0,"✓",""),"")</f>
        <v/>
      </c>
      <c r="J12" s="17" t="str">
        <f aca="false">IF(7&lt;=DAY(EOMONTH(DATE($E$2,$C$2,1),0)),IF(SUMPRODUCT((DAY(Registres!C$2:C$500)=7)*(MONTH(Registres!C$2:C$500)=$C$2)*(YEAR(Registres!C$2:C$500)=$E$2)*(TEXT(Registres!F$2:F$500,"0")=TEXT($A12,"0")))&gt;0,"✓",""),"")</f>
        <v/>
      </c>
      <c r="K12" s="17" t="str">
        <f aca="false">IF(8&lt;=DAY(EOMONTH(DATE($E$2,$C$2,1),0)),IF(SUMPRODUCT((DAY(Registres!C$2:C$500)=8)*(MONTH(Registres!C$2:C$500)=$C$2)*(YEAR(Registres!C$2:C$500)=$E$2)*(TEXT(Registres!F$2:F$500,"0")=TEXT($A12,"0")))&gt;0,"✓",""),"")</f>
        <v/>
      </c>
      <c r="L12" s="17" t="str">
        <f aca="false">IF(9&lt;=DAY(EOMONTH(DATE($E$2,$C$2,1),0)),IF(SUMPRODUCT((DAY(Registres!C$2:C$500)=9)*(MONTH(Registres!C$2:C$500)=$C$2)*(YEAR(Registres!C$2:C$500)=$E$2)*(TEXT(Registres!F$2:F$500,"0")=TEXT($A12,"0")))&gt;0,"✓",""),"")</f>
        <v/>
      </c>
      <c r="M12" s="17" t="str">
        <f aca="false">IF(10&lt;=DAY(EOMONTH(DATE($E$2,$C$2,1),0)),IF(SUMPRODUCT((DAY(Registres!C$2:C$500)=10)*(MONTH(Registres!C$2:C$500)=$C$2)*(YEAR(Registres!C$2:C$500)=$E$2)*(TEXT(Registres!F$2:F$500,"0")=TEXT($A12,"0")))&gt;0,"✓",""),"")</f>
        <v/>
      </c>
      <c r="N12" s="17" t="str">
        <f aca="false">IF(11&lt;=DAY(EOMONTH(DATE($E$2,$C$2,1),0)),IF(SUMPRODUCT((DAY(Registres!C$2:C$500)=11)*(MONTH(Registres!C$2:C$500)=$C$2)*(YEAR(Registres!C$2:C$500)=$E$2)*(TEXT(Registres!F$2:F$500,"0")=TEXT($A12,"0")))&gt;0,"✓",""),"")</f>
        <v/>
      </c>
      <c r="O12" s="17" t="str">
        <f aca="false">IF(12&lt;=DAY(EOMONTH(DATE($E$2,$C$2,1),0)),IF(SUMPRODUCT((DAY(Registres!C$2:C$500)=12)*(MONTH(Registres!C$2:C$500)=$C$2)*(YEAR(Registres!C$2:C$500)=$E$2)*(TEXT(Registres!F$2:F$500,"0")=TEXT($A12,"0")))&gt;0,"✓",""),"")</f>
        <v/>
      </c>
      <c r="P12" s="17" t="str">
        <f aca="false">IF(13&lt;=DAY(EOMONTH(DATE($E$2,$C$2,1),0)),IF(SUMPRODUCT((DAY(Registres!C$2:C$500)=13)*(MONTH(Registres!C$2:C$500)=$C$2)*(YEAR(Registres!C$2:C$500)=$E$2)*(TEXT(Registres!F$2:F$500,"0")=TEXT($A12,"0")))&gt;0,"✓",""),"")</f>
        <v/>
      </c>
      <c r="Q12" s="17" t="str">
        <f aca="false">IF(14&lt;=DAY(EOMONTH(DATE($E$2,$C$2,1),0)),IF(SUMPRODUCT((DAY(Registres!C$2:C$500)=14)*(MONTH(Registres!C$2:C$500)=$C$2)*(YEAR(Registres!C$2:C$500)=$E$2)*(TEXT(Registres!F$2:F$500,"0")=TEXT($A12,"0")))&gt;0,"✓",""),"")</f>
        <v/>
      </c>
      <c r="R12" s="17" t="str">
        <f aca="false">IF(15&lt;=DAY(EOMONTH(DATE($E$2,$C$2,1),0)),IF(SUMPRODUCT((DAY(Registres!C$2:C$500)=15)*(MONTH(Registres!C$2:C$500)=$C$2)*(YEAR(Registres!C$2:C$500)=$E$2)*(TEXT(Registres!F$2:F$500,"0")=TEXT($A12,"0")))&gt;0,"✓",""),"")</f>
        <v/>
      </c>
      <c r="S12" s="17" t="str">
        <f aca="false">IF(16&lt;=DAY(EOMONTH(DATE($E$2,$C$2,1),0)),IF(SUMPRODUCT((DAY(Registres!C$2:C$500)=16)*(MONTH(Registres!C$2:C$500)=$C$2)*(YEAR(Registres!C$2:C$500)=$E$2)*(TEXT(Registres!F$2:F$500,"0")=TEXT($A12,"0")))&gt;0,"✓",""),"")</f>
        <v/>
      </c>
      <c r="T12" s="17" t="str">
        <f aca="false">IF(17&lt;=DAY(EOMONTH(DATE($E$2,$C$2,1),0)),IF(SUMPRODUCT((DAY(Registres!C$2:C$500)=17)*(MONTH(Registres!C$2:C$500)=$C$2)*(YEAR(Registres!C$2:C$500)=$E$2)*(TEXT(Registres!F$2:F$500,"0")=TEXT($A12,"0")))&gt;0,"✓",""),"")</f>
        <v/>
      </c>
      <c r="U12" s="17" t="str">
        <f aca="false">IF(18&lt;=DAY(EOMONTH(DATE($E$2,$C$2,1),0)),IF(SUMPRODUCT((DAY(Registres!C$2:C$500)=18)*(MONTH(Registres!C$2:C$500)=$C$2)*(YEAR(Registres!C$2:C$500)=$E$2)*(TEXT(Registres!F$2:F$500,"0")=TEXT($A12,"0")))&gt;0,"✓",""),"")</f>
        <v/>
      </c>
      <c r="V12" s="17" t="str">
        <f aca="false">IF(19&lt;=DAY(EOMONTH(DATE($E$2,$C$2,1),0)),IF(SUMPRODUCT((DAY(Registres!C$2:C$500)=19)*(MONTH(Registres!C$2:C$500)=$C$2)*(YEAR(Registres!C$2:C$500)=$E$2)*(TEXT(Registres!F$2:F$500,"0")=TEXT($A12,"0")))&gt;0,"✓",""),"")</f>
        <v/>
      </c>
      <c r="W12" s="17" t="str">
        <f aca="false">IF(20&lt;=DAY(EOMONTH(DATE($E$2,$C$2,1),0)),IF(SUMPRODUCT((DAY(Registres!C$2:C$500)=20)*(MONTH(Registres!C$2:C$500)=$C$2)*(YEAR(Registres!C$2:C$500)=$E$2)*(TEXT(Registres!F$2:F$500,"0")=TEXT($A12,"0")))&gt;0,"✓",""),"")</f>
        <v/>
      </c>
      <c r="X12" s="17" t="str">
        <f aca="false">IF(21&lt;=DAY(EOMONTH(DATE($E$2,$C$2,1),0)),IF(SUMPRODUCT((DAY(Registres!C$2:C$500)=21)*(MONTH(Registres!C$2:C$500)=$C$2)*(YEAR(Registres!C$2:C$500)=$E$2)*(TEXT(Registres!F$2:F$500,"0")=TEXT($A12,"0")))&gt;0,"✓",""),"")</f>
        <v/>
      </c>
      <c r="Y12" s="17" t="str">
        <f aca="false">IF(22&lt;=DAY(EOMONTH(DATE($E$2,$C$2,1),0)),IF(SUMPRODUCT((DAY(Registres!C$2:C$500)=22)*(MONTH(Registres!C$2:C$500)=$C$2)*(YEAR(Registres!C$2:C$500)=$E$2)*(TEXT(Registres!F$2:F$500,"0")=TEXT($A12,"0")))&gt;0,"✓",""),"")</f>
        <v/>
      </c>
      <c r="Z12" s="17" t="str">
        <f aca="false">IF(23&lt;=DAY(EOMONTH(DATE($E$2,$C$2,1),0)),IF(SUMPRODUCT((DAY(Registres!C$2:C$500)=23)*(MONTH(Registres!C$2:C$500)=$C$2)*(YEAR(Registres!C$2:C$500)=$E$2)*(TEXT(Registres!F$2:F$500,"0")=TEXT($A12,"0")))&gt;0,"✓",""),"")</f>
        <v/>
      </c>
      <c r="AA12" s="17" t="str">
        <f aca="false">IF(24&lt;=DAY(EOMONTH(DATE($E$2,$C$2,1),0)),IF(SUMPRODUCT((DAY(Registres!C$2:C$500)=24)*(MONTH(Registres!C$2:C$500)=$C$2)*(YEAR(Registres!C$2:C$500)=$E$2)*(TEXT(Registres!F$2:F$500,"0")=TEXT($A12,"0")))&gt;0,"✓",""),"")</f>
        <v/>
      </c>
      <c r="AB12" s="17" t="str">
        <f aca="false">IF(25&lt;=DAY(EOMONTH(DATE($E$2,$C$2,1),0)),IF(SUMPRODUCT((DAY(Registres!C$2:C$500)=25)*(MONTH(Registres!C$2:C$500)=$C$2)*(YEAR(Registres!C$2:C$500)=$E$2)*(TEXT(Registres!F$2:F$500,"0")=TEXT($A12,"0")))&gt;0,"✓",""),"")</f>
        <v/>
      </c>
      <c r="AC12" s="17" t="str">
        <f aca="false">IF(26&lt;=DAY(EOMONTH(DATE($E$2,$C$2,1),0)),IF(SUMPRODUCT((DAY(Registres!C$2:C$500)=26)*(MONTH(Registres!C$2:C$500)=$C$2)*(YEAR(Registres!C$2:C$500)=$E$2)*(TEXT(Registres!F$2:F$500,"0")=TEXT($A12,"0")))&gt;0,"✓",""),"")</f>
        <v/>
      </c>
      <c r="AD12" s="17" t="str">
        <f aca="false">IF(27&lt;=DAY(EOMONTH(DATE($E$2,$C$2,1),0)),IF(SUMPRODUCT((DAY(Registres!C$2:C$500)=27)*(MONTH(Registres!C$2:C$500)=$C$2)*(YEAR(Registres!C$2:C$500)=$E$2)*(TEXT(Registres!F$2:F$500,"0")=TEXT($A12,"0")))&gt;0,"✓",""),"")</f>
        <v/>
      </c>
      <c r="AE12" s="17" t="str">
        <f aca="false">IF(28&lt;=DAY(EOMONTH(DATE($E$2,$C$2,1),0)),IF(SUMPRODUCT((DAY(Registres!C$2:C$500)=28)*(MONTH(Registres!C$2:C$500)=$C$2)*(YEAR(Registres!C$2:C$500)=$E$2)*(TEXT(Registres!F$2:F$500,"0")=TEXT($A12,"0")))&gt;0,"✓",""),"")</f>
        <v/>
      </c>
      <c r="AF12" s="17" t="str">
        <f aca="false">IF(29&lt;=DAY(EOMONTH(DATE($E$2,$C$2,1),0)),IF(SUMPRODUCT((DAY(Registres!C$2:C$500)=29)*(MONTH(Registres!C$2:C$500)=$C$2)*(YEAR(Registres!C$2:C$500)=$E$2)*(TEXT(Registres!F$2:F$500,"0")=TEXT($A12,"0")))&gt;0,"✓",""),"")</f>
        <v/>
      </c>
      <c r="AG12" s="17" t="str">
        <f aca="false">IF(30&lt;=DAY(EOMONTH(DATE($E$2,$C$2,1),0)),IF(SUMPRODUCT((DAY(Registres!C$2:C$500)=30)*(MONTH(Registres!C$2:C$500)=$C$2)*(YEAR(Registres!C$2:C$500)=$E$2)*(TEXT(Registres!F$2:F$500,"0")=TEXT($A12,"0")))&gt;0,"✓",""),"")</f>
        <v/>
      </c>
      <c r="AH12" s="17" t="str">
        <f aca="false">IF(31&lt;=DAY(EOMONTH(DATE($E$2,$C$2,1),0)),IF(SUMPRODUCT((DAY(Registres!C$2:C$500)=31)*(MONTH(Registres!C$2:C$500)=$C$2)*(YEAR(Registres!C$2:C$500)=$E$2)*(TEXT(Registres!F$2:F$500,"0")=TEXT($A12,"0")))&gt;0,"✓",""),"")</f>
        <v/>
      </c>
      <c r="AI12" s="18" t="n">
        <f aca="false">COUNTIF(D12:AH12,"✓")</f>
        <v>0</v>
      </c>
    </row>
    <row r="13" customFormat="false" ht="15" hidden="false" customHeight="false" outlineLevel="0" collapsed="false">
      <c r="A13" s="14" t="n">
        <v>9</v>
      </c>
      <c r="B13" s="15" t="s">
        <v>121</v>
      </c>
      <c r="C13" s="16" t="s">
        <v>113</v>
      </c>
      <c r="D13" s="17" t="str">
        <f aca="false">IF(1&lt;=DAY(EOMONTH(DATE($E$2,$C$2,1),0)),IF(SUMPRODUCT((DAY(Registres!C$2:C$500)=1)*(MONTH(Registres!C$2:C$500)=$C$2)*(YEAR(Registres!C$2:C$500)=$E$2)*(TEXT(Registres!F$2:F$500,"0")=TEXT($A13,"0")))&gt;0,"✓",""),"")</f>
        <v/>
      </c>
      <c r="E13" s="17" t="str">
        <f aca="false">IF(2&lt;=DAY(EOMONTH(DATE($E$2,$C$2,1),0)),IF(SUMPRODUCT((DAY(Registres!C$2:C$500)=2)*(MONTH(Registres!C$2:C$500)=$C$2)*(YEAR(Registres!C$2:C$500)=$E$2)*(TEXT(Registres!F$2:F$500,"0")=TEXT($A13,"0")))&gt;0,"✓",""),"")</f>
        <v/>
      </c>
      <c r="F13" s="17" t="str">
        <f aca="false">IF(3&lt;=DAY(EOMONTH(DATE($E$2,$C$2,1),0)),IF(SUMPRODUCT((DAY(Registres!C$2:C$500)=3)*(MONTH(Registres!C$2:C$500)=$C$2)*(YEAR(Registres!C$2:C$500)=$E$2)*(TEXT(Registres!F$2:F$500,"0")=TEXT($A13,"0")))&gt;0,"✓",""),"")</f>
        <v/>
      </c>
      <c r="G13" s="17" t="str">
        <f aca="false">IF(4&lt;=DAY(EOMONTH(DATE($E$2,$C$2,1),0)),IF(SUMPRODUCT((DAY(Registres!C$2:C$500)=4)*(MONTH(Registres!C$2:C$500)=$C$2)*(YEAR(Registres!C$2:C$500)=$E$2)*(TEXT(Registres!F$2:F$500,"0")=TEXT($A13,"0")))&gt;0,"✓",""),"")</f>
        <v/>
      </c>
      <c r="H13" s="17" t="str">
        <f aca="false">IF(5&lt;=DAY(EOMONTH(DATE($E$2,$C$2,1),0)),IF(SUMPRODUCT((DAY(Registres!C$2:C$500)=5)*(MONTH(Registres!C$2:C$500)=$C$2)*(YEAR(Registres!C$2:C$500)=$E$2)*(TEXT(Registres!F$2:F$500,"0")=TEXT($A13,"0")))&gt;0,"✓",""),"")</f>
        <v/>
      </c>
      <c r="I13" s="17" t="str">
        <f aca="false">IF(6&lt;=DAY(EOMONTH(DATE($E$2,$C$2,1),0)),IF(SUMPRODUCT((DAY(Registres!C$2:C$500)=6)*(MONTH(Registres!C$2:C$500)=$C$2)*(YEAR(Registres!C$2:C$500)=$E$2)*(TEXT(Registres!F$2:F$500,"0")=TEXT($A13,"0")))&gt;0,"✓",""),"")</f>
        <v/>
      </c>
      <c r="J13" s="17" t="str">
        <f aca="false">IF(7&lt;=DAY(EOMONTH(DATE($E$2,$C$2,1),0)),IF(SUMPRODUCT((DAY(Registres!C$2:C$500)=7)*(MONTH(Registres!C$2:C$500)=$C$2)*(YEAR(Registres!C$2:C$500)=$E$2)*(TEXT(Registres!F$2:F$500,"0")=TEXT($A13,"0")))&gt;0,"✓",""),"")</f>
        <v/>
      </c>
      <c r="K13" s="17" t="str">
        <f aca="false">IF(8&lt;=DAY(EOMONTH(DATE($E$2,$C$2,1),0)),IF(SUMPRODUCT((DAY(Registres!C$2:C$500)=8)*(MONTH(Registres!C$2:C$500)=$C$2)*(YEAR(Registres!C$2:C$500)=$E$2)*(TEXT(Registres!F$2:F$500,"0")=TEXT($A13,"0")))&gt;0,"✓",""),"")</f>
        <v/>
      </c>
      <c r="L13" s="17" t="str">
        <f aca="false">IF(9&lt;=DAY(EOMONTH(DATE($E$2,$C$2,1),0)),IF(SUMPRODUCT((DAY(Registres!C$2:C$500)=9)*(MONTH(Registres!C$2:C$500)=$C$2)*(YEAR(Registres!C$2:C$500)=$E$2)*(TEXT(Registres!F$2:F$500,"0")=TEXT($A13,"0")))&gt;0,"✓",""),"")</f>
        <v/>
      </c>
      <c r="M13" s="17" t="str">
        <f aca="false">IF(10&lt;=DAY(EOMONTH(DATE($E$2,$C$2,1),0)),IF(SUMPRODUCT((DAY(Registres!C$2:C$500)=10)*(MONTH(Registres!C$2:C$500)=$C$2)*(YEAR(Registres!C$2:C$500)=$E$2)*(TEXT(Registres!F$2:F$500,"0")=TEXT($A13,"0")))&gt;0,"✓",""),"")</f>
        <v/>
      </c>
      <c r="N13" s="17" t="str">
        <f aca="false">IF(11&lt;=DAY(EOMONTH(DATE($E$2,$C$2,1),0)),IF(SUMPRODUCT((DAY(Registres!C$2:C$500)=11)*(MONTH(Registres!C$2:C$500)=$C$2)*(YEAR(Registres!C$2:C$500)=$E$2)*(TEXT(Registres!F$2:F$500,"0")=TEXT($A13,"0")))&gt;0,"✓",""),"")</f>
        <v/>
      </c>
      <c r="O13" s="17" t="str">
        <f aca="false">IF(12&lt;=DAY(EOMONTH(DATE($E$2,$C$2,1),0)),IF(SUMPRODUCT((DAY(Registres!C$2:C$500)=12)*(MONTH(Registres!C$2:C$500)=$C$2)*(YEAR(Registres!C$2:C$500)=$E$2)*(TEXT(Registres!F$2:F$500,"0")=TEXT($A13,"0")))&gt;0,"✓",""),"")</f>
        <v/>
      </c>
      <c r="P13" s="17" t="str">
        <f aca="false">IF(13&lt;=DAY(EOMONTH(DATE($E$2,$C$2,1),0)),IF(SUMPRODUCT((DAY(Registres!C$2:C$500)=13)*(MONTH(Registres!C$2:C$500)=$C$2)*(YEAR(Registres!C$2:C$500)=$E$2)*(TEXT(Registres!F$2:F$500,"0")=TEXT($A13,"0")))&gt;0,"✓",""),"")</f>
        <v/>
      </c>
      <c r="Q13" s="17" t="str">
        <f aca="false">IF(14&lt;=DAY(EOMONTH(DATE($E$2,$C$2,1),0)),IF(SUMPRODUCT((DAY(Registres!C$2:C$500)=14)*(MONTH(Registres!C$2:C$500)=$C$2)*(YEAR(Registres!C$2:C$500)=$E$2)*(TEXT(Registres!F$2:F$500,"0")=TEXT($A13,"0")))&gt;0,"✓",""),"")</f>
        <v/>
      </c>
      <c r="R13" s="17" t="str">
        <f aca="false">IF(15&lt;=DAY(EOMONTH(DATE($E$2,$C$2,1),0)),IF(SUMPRODUCT((DAY(Registres!C$2:C$500)=15)*(MONTH(Registres!C$2:C$500)=$C$2)*(YEAR(Registres!C$2:C$500)=$E$2)*(TEXT(Registres!F$2:F$500,"0")=TEXT($A13,"0")))&gt;0,"✓",""),"")</f>
        <v/>
      </c>
      <c r="S13" s="17" t="str">
        <f aca="false">IF(16&lt;=DAY(EOMONTH(DATE($E$2,$C$2,1),0)),IF(SUMPRODUCT((DAY(Registres!C$2:C$500)=16)*(MONTH(Registres!C$2:C$500)=$C$2)*(YEAR(Registres!C$2:C$500)=$E$2)*(TEXT(Registres!F$2:F$500,"0")=TEXT($A13,"0")))&gt;0,"✓",""),"")</f>
        <v/>
      </c>
      <c r="T13" s="17" t="str">
        <f aca="false">IF(17&lt;=DAY(EOMONTH(DATE($E$2,$C$2,1),0)),IF(SUMPRODUCT((DAY(Registres!C$2:C$500)=17)*(MONTH(Registres!C$2:C$500)=$C$2)*(YEAR(Registres!C$2:C$500)=$E$2)*(TEXT(Registres!F$2:F$500,"0")=TEXT($A13,"0")))&gt;0,"✓",""),"")</f>
        <v/>
      </c>
      <c r="U13" s="17" t="str">
        <f aca="false">IF(18&lt;=DAY(EOMONTH(DATE($E$2,$C$2,1),0)),IF(SUMPRODUCT((DAY(Registres!C$2:C$500)=18)*(MONTH(Registres!C$2:C$500)=$C$2)*(YEAR(Registres!C$2:C$500)=$E$2)*(TEXT(Registres!F$2:F$500,"0")=TEXT($A13,"0")))&gt;0,"✓",""),"")</f>
        <v/>
      </c>
      <c r="V13" s="17" t="str">
        <f aca="false">IF(19&lt;=DAY(EOMONTH(DATE($E$2,$C$2,1),0)),IF(SUMPRODUCT((DAY(Registres!C$2:C$500)=19)*(MONTH(Registres!C$2:C$500)=$C$2)*(YEAR(Registres!C$2:C$500)=$E$2)*(TEXT(Registres!F$2:F$500,"0")=TEXT($A13,"0")))&gt;0,"✓",""),"")</f>
        <v/>
      </c>
      <c r="W13" s="17" t="str">
        <f aca="false">IF(20&lt;=DAY(EOMONTH(DATE($E$2,$C$2,1),0)),IF(SUMPRODUCT((DAY(Registres!C$2:C$500)=20)*(MONTH(Registres!C$2:C$500)=$C$2)*(YEAR(Registres!C$2:C$500)=$E$2)*(TEXT(Registres!F$2:F$500,"0")=TEXT($A13,"0")))&gt;0,"✓",""),"")</f>
        <v/>
      </c>
      <c r="X13" s="17" t="str">
        <f aca="false">IF(21&lt;=DAY(EOMONTH(DATE($E$2,$C$2,1),0)),IF(SUMPRODUCT((DAY(Registres!C$2:C$500)=21)*(MONTH(Registres!C$2:C$500)=$C$2)*(YEAR(Registres!C$2:C$500)=$E$2)*(TEXT(Registres!F$2:F$500,"0")=TEXT($A13,"0")))&gt;0,"✓",""),"")</f>
        <v/>
      </c>
      <c r="Y13" s="17" t="str">
        <f aca="false">IF(22&lt;=DAY(EOMONTH(DATE($E$2,$C$2,1),0)),IF(SUMPRODUCT((DAY(Registres!C$2:C$500)=22)*(MONTH(Registres!C$2:C$500)=$C$2)*(YEAR(Registres!C$2:C$500)=$E$2)*(TEXT(Registres!F$2:F$500,"0")=TEXT($A13,"0")))&gt;0,"✓",""),"")</f>
        <v/>
      </c>
      <c r="Z13" s="17" t="str">
        <f aca="false">IF(23&lt;=DAY(EOMONTH(DATE($E$2,$C$2,1),0)),IF(SUMPRODUCT((DAY(Registres!C$2:C$500)=23)*(MONTH(Registres!C$2:C$500)=$C$2)*(YEAR(Registres!C$2:C$500)=$E$2)*(TEXT(Registres!F$2:F$500,"0")=TEXT($A13,"0")))&gt;0,"✓",""),"")</f>
        <v/>
      </c>
      <c r="AA13" s="17" t="str">
        <f aca="false">IF(24&lt;=DAY(EOMONTH(DATE($E$2,$C$2,1),0)),IF(SUMPRODUCT((DAY(Registres!C$2:C$500)=24)*(MONTH(Registres!C$2:C$500)=$C$2)*(YEAR(Registres!C$2:C$500)=$E$2)*(TEXT(Registres!F$2:F$500,"0")=TEXT($A13,"0")))&gt;0,"✓",""),"")</f>
        <v/>
      </c>
      <c r="AB13" s="17" t="str">
        <f aca="false">IF(25&lt;=DAY(EOMONTH(DATE($E$2,$C$2,1),0)),IF(SUMPRODUCT((DAY(Registres!C$2:C$500)=25)*(MONTH(Registres!C$2:C$500)=$C$2)*(YEAR(Registres!C$2:C$500)=$E$2)*(TEXT(Registres!F$2:F$500,"0")=TEXT($A13,"0")))&gt;0,"✓",""),"")</f>
        <v/>
      </c>
      <c r="AC13" s="17" t="str">
        <f aca="false">IF(26&lt;=DAY(EOMONTH(DATE($E$2,$C$2,1),0)),IF(SUMPRODUCT((DAY(Registres!C$2:C$500)=26)*(MONTH(Registres!C$2:C$500)=$C$2)*(YEAR(Registres!C$2:C$500)=$E$2)*(TEXT(Registres!F$2:F$500,"0")=TEXT($A13,"0")))&gt;0,"✓",""),"")</f>
        <v/>
      </c>
      <c r="AD13" s="17" t="str">
        <f aca="false">IF(27&lt;=DAY(EOMONTH(DATE($E$2,$C$2,1),0)),IF(SUMPRODUCT((DAY(Registres!C$2:C$500)=27)*(MONTH(Registres!C$2:C$500)=$C$2)*(YEAR(Registres!C$2:C$500)=$E$2)*(TEXT(Registres!F$2:F$500,"0")=TEXT($A13,"0")))&gt;0,"✓",""),"")</f>
        <v/>
      </c>
      <c r="AE13" s="17" t="str">
        <f aca="false">IF(28&lt;=DAY(EOMONTH(DATE($E$2,$C$2,1),0)),IF(SUMPRODUCT((DAY(Registres!C$2:C$500)=28)*(MONTH(Registres!C$2:C$500)=$C$2)*(YEAR(Registres!C$2:C$500)=$E$2)*(TEXT(Registres!F$2:F$500,"0")=TEXT($A13,"0")))&gt;0,"✓",""),"")</f>
        <v/>
      </c>
      <c r="AF13" s="17" t="str">
        <f aca="false">IF(29&lt;=DAY(EOMONTH(DATE($E$2,$C$2,1),0)),IF(SUMPRODUCT((DAY(Registres!C$2:C$500)=29)*(MONTH(Registres!C$2:C$500)=$C$2)*(YEAR(Registres!C$2:C$500)=$E$2)*(TEXT(Registres!F$2:F$500,"0")=TEXT($A13,"0")))&gt;0,"✓",""),"")</f>
        <v/>
      </c>
      <c r="AG13" s="17" t="str">
        <f aca="false">IF(30&lt;=DAY(EOMONTH(DATE($E$2,$C$2,1),0)),IF(SUMPRODUCT((DAY(Registres!C$2:C$500)=30)*(MONTH(Registres!C$2:C$500)=$C$2)*(YEAR(Registres!C$2:C$500)=$E$2)*(TEXT(Registres!F$2:F$500,"0")=TEXT($A13,"0")))&gt;0,"✓",""),"")</f>
        <v/>
      </c>
      <c r="AH13" s="17" t="str">
        <f aca="false">IF(31&lt;=DAY(EOMONTH(DATE($E$2,$C$2,1),0)),IF(SUMPRODUCT((DAY(Registres!C$2:C$500)=31)*(MONTH(Registres!C$2:C$500)=$C$2)*(YEAR(Registres!C$2:C$500)=$E$2)*(TEXT(Registres!F$2:F$500,"0")=TEXT($A13,"0")))&gt;0,"✓",""),"")</f>
        <v/>
      </c>
      <c r="AI13" s="18" t="n">
        <f aca="false">COUNTIF(D13:AH13,"✓")</f>
        <v>0</v>
      </c>
    </row>
    <row r="14" customFormat="false" ht="15" hidden="false" customHeight="false" outlineLevel="0" collapsed="false">
      <c r="A14" s="19" t="n">
        <v>10</v>
      </c>
      <c r="B14" s="20" t="s">
        <v>122</v>
      </c>
      <c r="C14" s="21" t="s">
        <v>113</v>
      </c>
      <c r="D14" s="17" t="str">
        <f aca="false">IF(1&lt;=DAY(EOMONTH(DATE($E$2,$C$2,1),0)),IF(SUMPRODUCT((DAY(Registres!C$2:C$500)=1)*(MONTH(Registres!C$2:C$500)=$C$2)*(YEAR(Registres!C$2:C$500)=$E$2)*(TEXT(Registres!F$2:F$500,"0")=TEXT($A14,"0")))&gt;0,"✓",""),"")</f>
        <v/>
      </c>
      <c r="E14" s="17" t="str">
        <f aca="false">IF(2&lt;=DAY(EOMONTH(DATE($E$2,$C$2,1),0)),IF(SUMPRODUCT((DAY(Registres!C$2:C$500)=2)*(MONTH(Registres!C$2:C$500)=$C$2)*(YEAR(Registres!C$2:C$500)=$E$2)*(TEXT(Registres!F$2:F$500,"0")=TEXT($A14,"0")))&gt;0,"✓",""),"")</f>
        <v/>
      </c>
      <c r="F14" s="17" t="str">
        <f aca="false">IF(3&lt;=DAY(EOMONTH(DATE($E$2,$C$2,1),0)),IF(SUMPRODUCT((DAY(Registres!C$2:C$500)=3)*(MONTH(Registres!C$2:C$500)=$C$2)*(YEAR(Registres!C$2:C$500)=$E$2)*(TEXT(Registres!F$2:F$500,"0")=TEXT($A14,"0")))&gt;0,"✓",""),"")</f>
        <v/>
      </c>
      <c r="G14" s="17" t="str">
        <f aca="false">IF(4&lt;=DAY(EOMONTH(DATE($E$2,$C$2,1),0)),IF(SUMPRODUCT((DAY(Registres!C$2:C$500)=4)*(MONTH(Registres!C$2:C$500)=$C$2)*(YEAR(Registres!C$2:C$500)=$E$2)*(TEXT(Registres!F$2:F$500,"0")=TEXT($A14,"0")))&gt;0,"✓",""),"")</f>
        <v/>
      </c>
      <c r="H14" s="17" t="str">
        <f aca="false">IF(5&lt;=DAY(EOMONTH(DATE($E$2,$C$2,1),0)),IF(SUMPRODUCT((DAY(Registres!C$2:C$500)=5)*(MONTH(Registres!C$2:C$500)=$C$2)*(YEAR(Registres!C$2:C$500)=$E$2)*(TEXT(Registres!F$2:F$500,"0")=TEXT($A14,"0")))&gt;0,"✓",""),"")</f>
        <v/>
      </c>
      <c r="I14" s="17" t="str">
        <f aca="false">IF(6&lt;=DAY(EOMONTH(DATE($E$2,$C$2,1),0)),IF(SUMPRODUCT((DAY(Registres!C$2:C$500)=6)*(MONTH(Registres!C$2:C$500)=$C$2)*(YEAR(Registres!C$2:C$500)=$E$2)*(TEXT(Registres!F$2:F$500,"0")=TEXT($A14,"0")))&gt;0,"✓",""),"")</f>
        <v/>
      </c>
      <c r="J14" s="17" t="str">
        <f aca="false">IF(7&lt;=DAY(EOMONTH(DATE($E$2,$C$2,1),0)),IF(SUMPRODUCT((DAY(Registres!C$2:C$500)=7)*(MONTH(Registres!C$2:C$500)=$C$2)*(YEAR(Registres!C$2:C$500)=$E$2)*(TEXT(Registres!F$2:F$500,"0")=TEXT($A14,"0")))&gt;0,"✓",""),"")</f>
        <v/>
      </c>
      <c r="K14" s="17" t="str">
        <f aca="false">IF(8&lt;=DAY(EOMONTH(DATE($E$2,$C$2,1),0)),IF(SUMPRODUCT((DAY(Registres!C$2:C$500)=8)*(MONTH(Registres!C$2:C$500)=$C$2)*(YEAR(Registres!C$2:C$500)=$E$2)*(TEXT(Registres!F$2:F$500,"0")=TEXT($A14,"0")))&gt;0,"✓",""),"")</f>
        <v/>
      </c>
      <c r="L14" s="17" t="str">
        <f aca="false">IF(9&lt;=DAY(EOMONTH(DATE($E$2,$C$2,1),0)),IF(SUMPRODUCT((DAY(Registres!C$2:C$500)=9)*(MONTH(Registres!C$2:C$500)=$C$2)*(YEAR(Registres!C$2:C$500)=$E$2)*(TEXT(Registres!F$2:F$500,"0")=TEXT($A14,"0")))&gt;0,"✓",""),"")</f>
        <v/>
      </c>
      <c r="M14" s="17" t="str">
        <f aca="false">IF(10&lt;=DAY(EOMONTH(DATE($E$2,$C$2,1),0)),IF(SUMPRODUCT((DAY(Registres!C$2:C$500)=10)*(MONTH(Registres!C$2:C$500)=$C$2)*(YEAR(Registres!C$2:C$500)=$E$2)*(TEXT(Registres!F$2:F$500,"0")=TEXT($A14,"0")))&gt;0,"✓",""),"")</f>
        <v/>
      </c>
      <c r="N14" s="17" t="str">
        <f aca="false">IF(11&lt;=DAY(EOMONTH(DATE($E$2,$C$2,1),0)),IF(SUMPRODUCT((DAY(Registres!C$2:C$500)=11)*(MONTH(Registres!C$2:C$500)=$C$2)*(YEAR(Registres!C$2:C$500)=$E$2)*(TEXT(Registres!F$2:F$500,"0")=TEXT($A14,"0")))&gt;0,"✓",""),"")</f>
        <v/>
      </c>
      <c r="O14" s="17" t="str">
        <f aca="false">IF(12&lt;=DAY(EOMONTH(DATE($E$2,$C$2,1),0)),IF(SUMPRODUCT((DAY(Registres!C$2:C$500)=12)*(MONTH(Registres!C$2:C$500)=$C$2)*(YEAR(Registres!C$2:C$500)=$E$2)*(TEXT(Registres!F$2:F$500,"0")=TEXT($A14,"0")))&gt;0,"✓",""),"")</f>
        <v/>
      </c>
      <c r="P14" s="17" t="str">
        <f aca="false">IF(13&lt;=DAY(EOMONTH(DATE($E$2,$C$2,1),0)),IF(SUMPRODUCT((DAY(Registres!C$2:C$500)=13)*(MONTH(Registres!C$2:C$500)=$C$2)*(YEAR(Registres!C$2:C$500)=$E$2)*(TEXT(Registres!F$2:F$500,"0")=TEXT($A14,"0")))&gt;0,"✓",""),"")</f>
        <v/>
      </c>
      <c r="Q14" s="17" t="str">
        <f aca="false">IF(14&lt;=DAY(EOMONTH(DATE($E$2,$C$2,1),0)),IF(SUMPRODUCT((DAY(Registres!C$2:C$500)=14)*(MONTH(Registres!C$2:C$500)=$C$2)*(YEAR(Registres!C$2:C$500)=$E$2)*(TEXT(Registres!F$2:F$500,"0")=TEXT($A14,"0")))&gt;0,"✓",""),"")</f>
        <v/>
      </c>
      <c r="R14" s="17" t="str">
        <f aca="false">IF(15&lt;=DAY(EOMONTH(DATE($E$2,$C$2,1),0)),IF(SUMPRODUCT((DAY(Registres!C$2:C$500)=15)*(MONTH(Registres!C$2:C$500)=$C$2)*(YEAR(Registres!C$2:C$500)=$E$2)*(TEXT(Registres!F$2:F$500,"0")=TEXT($A14,"0")))&gt;0,"✓",""),"")</f>
        <v/>
      </c>
      <c r="S14" s="17" t="str">
        <f aca="false">IF(16&lt;=DAY(EOMONTH(DATE($E$2,$C$2,1),0)),IF(SUMPRODUCT((DAY(Registres!C$2:C$500)=16)*(MONTH(Registres!C$2:C$500)=$C$2)*(YEAR(Registres!C$2:C$500)=$E$2)*(TEXT(Registres!F$2:F$500,"0")=TEXT($A14,"0")))&gt;0,"✓",""),"")</f>
        <v/>
      </c>
      <c r="T14" s="17" t="str">
        <f aca="false">IF(17&lt;=DAY(EOMONTH(DATE($E$2,$C$2,1),0)),IF(SUMPRODUCT((DAY(Registres!C$2:C$500)=17)*(MONTH(Registres!C$2:C$500)=$C$2)*(YEAR(Registres!C$2:C$500)=$E$2)*(TEXT(Registres!F$2:F$500,"0")=TEXT($A14,"0")))&gt;0,"✓",""),"")</f>
        <v/>
      </c>
      <c r="U14" s="17" t="str">
        <f aca="false">IF(18&lt;=DAY(EOMONTH(DATE($E$2,$C$2,1),0)),IF(SUMPRODUCT((DAY(Registres!C$2:C$500)=18)*(MONTH(Registres!C$2:C$500)=$C$2)*(YEAR(Registres!C$2:C$500)=$E$2)*(TEXT(Registres!F$2:F$500,"0")=TEXT($A14,"0")))&gt;0,"✓",""),"")</f>
        <v/>
      </c>
      <c r="V14" s="17" t="str">
        <f aca="false">IF(19&lt;=DAY(EOMONTH(DATE($E$2,$C$2,1),0)),IF(SUMPRODUCT((DAY(Registres!C$2:C$500)=19)*(MONTH(Registres!C$2:C$500)=$C$2)*(YEAR(Registres!C$2:C$500)=$E$2)*(TEXT(Registres!F$2:F$500,"0")=TEXT($A14,"0")))&gt;0,"✓",""),"")</f>
        <v/>
      </c>
      <c r="W14" s="17" t="str">
        <f aca="false">IF(20&lt;=DAY(EOMONTH(DATE($E$2,$C$2,1),0)),IF(SUMPRODUCT((DAY(Registres!C$2:C$500)=20)*(MONTH(Registres!C$2:C$500)=$C$2)*(YEAR(Registres!C$2:C$500)=$E$2)*(TEXT(Registres!F$2:F$500,"0")=TEXT($A14,"0")))&gt;0,"✓",""),"")</f>
        <v/>
      </c>
      <c r="X14" s="17" t="str">
        <f aca="false">IF(21&lt;=DAY(EOMONTH(DATE($E$2,$C$2,1),0)),IF(SUMPRODUCT((DAY(Registres!C$2:C$500)=21)*(MONTH(Registres!C$2:C$500)=$C$2)*(YEAR(Registres!C$2:C$500)=$E$2)*(TEXT(Registres!F$2:F$500,"0")=TEXT($A14,"0")))&gt;0,"✓",""),"")</f>
        <v/>
      </c>
      <c r="Y14" s="17" t="str">
        <f aca="false">IF(22&lt;=DAY(EOMONTH(DATE($E$2,$C$2,1),0)),IF(SUMPRODUCT((DAY(Registres!C$2:C$500)=22)*(MONTH(Registres!C$2:C$500)=$C$2)*(YEAR(Registres!C$2:C$500)=$E$2)*(TEXT(Registres!F$2:F$500,"0")=TEXT($A14,"0")))&gt;0,"✓",""),"")</f>
        <v/>
      </c>
      <c r="Z14" s="17" t="str">
        <f aca="false">IF(23&lt;=DAY(EOMONTH(DATE($E$2,$C$2,1),0)),IF(SUMPRODUCT((DAY(Registres!C$2:C$500)=23)*(MONTH(Registres!C$2:C$500)=$C$2)*(YEAR(Registres!C$2:C$500)=$E$2)*(TEXT(Registres!F$2:F$500,"0")=TEXT($A14,"0")))&gt;0,"✓",""),"")</f>
        <v/>
      </c>
      <c r="AA14" s="17" t="str">
        <f aca="false">IF(24&lt;=DAY(EOMONTH(DATE($E$2,$C$2,1),0)),IF(SUMPRODUCT((DAY(Registres!C$2:C$500)=24)*(MONTH(Registres!C$2:C$500)=$C$2)*(YEAR(Registres!C$2:C$500)=$E$2)*(TEXT(Registres!F$2:F$500,"0")=TEXT($A14,"0")))&gt;0,"✓",""),"")</f>
        <v/>
      </c>
      <c r="AB14" s="17" t="str">
        <f aca="false">IF(25&lt;=DAY(EOMONTH(DATE($E$2,$C$2,1),0)),IF(SUMPRODUCT((DAY(Registres!C$2:C$500)=25)*(MONTH(Registres!C$2:C$500)=$C$2)*(YEAR(Registres!C$2:C$500)=$E$2)*(TEXT(Registres!F$2:F$500,"0")=TEXT($A14,"0")))&gt;0,"✓",""),"")</f>
        <v/>
      </c>
      <c r="AC14" s="17" t="str">
        <f aca="false">IF(26&lt;=DAY(EOMONTH(DATE($E$2,$C$2,1),0)),IF(SUMPRODUCT((DAY(Registres!C$2:C$500)=26)*(MONTH(Registres!C$2:C$500)=$C$2)*(YEAR(Registres!C$2:C$500)=$E$2)*(TEXT(Registres!F$2:F$500,"0")=TEXT($A14,"0")))&gt;0,"✓",""),"")</f>
        <v/>
      </c>
      <c r="AD14" s="17" t="str">
        <f aca="false">IF(27&lt;=DAY(EOMONTH(DATE($E$2,$C$2,1),0)),IF(SUMPRODUCT((DAY(Registres!C$2:C$500)=27)*(MONTH(Registres!C$2:C$500)=$C$2)*(YEAR(Registres!C$2:C$500)=$E$2)*(TEXT(Registres!F$2:F$500,"0")=TEXT($A14,"0")))&gt;0,"✓",""),"")</f>
        <v/>
      </c>
      <c r="AE14" s="17" t="str">
        <f aca="false">IF(28&lt;=DAY(EOMONTH(DATE($E$2,$C$2,1),0)),IF(SUMPRODUCT((DAY(Registres!C$2:C$500)=28)*(MONTH(Registres!C$2:C$500)=$C$2)*(YEAR(Registres!C$2:C$500)=$E$2)*(TEXT(Registres!F$2:F$500,"0")=TEXT($A14,"0")))&gt;0,"✓",""),"")</f>
        <v/>
      </c>
      <c r="AF14" s="17" t="str">
        <f aca="false">IF(29&lt;=DAY(EOMONTH(DATE($E$2,$C$2,1),0)),IF(SUMPRODUCT((DAY(Registres!C$2:C$500)=29)*(MONTH(Registres!C$2:C$500)=$C$2)*(YEAR(Registres!C$2:C$500)=$E$2)*(TEXT(Registres!F$2:F$500,"0")=TEXT($A14,"0")))&gt;0,"✓",""),"")</f>
        <v/>
      </c>
      <c r="AG14" s="17" t="str">
        <f aca="false">IF(30&lt;=DAY(EOMONTH(DATE($E$2,$C$2,1),0)),IF(SUMPRODUCT((DAY(Registres!C$2:C$500)=30)*(MONTH(Registres!C$2:C$500)=$C$2)*(YEAR(Registres!C$2:C$500)=$E$2)*(TEXT(Registres!F$2:F$500,"0")=TEXT($A14,"0")))&gt;0,"✓",""),"")</f>
        <v/>
      </c>
      <c r="AH14" s="17" t="str">
        <f aca="false">IF(31&lt;=DAY(EOMONTH(DATE($E$2,$C$2,1),0)),IF(SUMPRODUCT((DAY(Registres!C$2:C$500)=31)*(MONTH(Registres!C$2:C$500)=$C$2)*(YEAR(Registres!C$2:C$500)=$E$2)*(TEXT(Registres!F$2:F$500,"0")=TEXT($A14,"0")))&gt;0,"✓",""),"")</f>
        <v/>
      </c>
      <c r="AI14" s="18" t="n">
        <f aca="false">COUNTIF(D14:AH14,"✓")</f>
        <v>0</v>
      </c>
    </row>
    <row r="15" customFormat="false" ht="15" hidden="false" customHeight="false" outlineLevel="0" collapsed="false">
      <c r="A15" s="14" t="n">
        <v>11</v>
      </c>
      <c r="B15" s="15" t="s">
        <v>123</v>
      </c>
      <c r="C15" s="16" t="s">
        <v>113</v>
      </c>
      <c r="D15" s="17" t="str">
        <f aca="false">IF(1&lt;=DAY(EOMONTH(DATE($E$2,$C$2,1),0)),IF(SUMPRODUCT((DAY(Registres!C$2:C$500)=1)*(MONTH(Registres!C$2:C$500)=$C$2)*(YEAR(Registres!C$2:C$500)=$E$2)*(TEXT(Registres!F$2:F$500,"0")=TEXT($A15,"0")))&gt;0,"✓",""),"")</f>
        <v/>
      </c>
      <c r="E15" s="17" t="str">
        <f aca="false">IF(2&lt;=DAY(EOMONTH(DATE($E$2,$C$2,1),0)),IF(SUMPRODUCT((DAY(Registres!C$2:C$500)=2)*(MONTH(Registres!C$2:C$500)=$C$2)*(YEAR(Registres!C$2:C$500)=$E$2)*(TEXT(Registres!F$2:F$500,"0")=TEXT($A15,"0")))&gt;0,"✓",""),"")</f>
        <v/>
      </c>
      <c r="F15" s="17" t="str">
        <f aca="false">IF(3&lt;=DAY(EOMONTH(DATE($E$2,$C$2,1),0)),IF(SUMPRODUCT((DAY(Registres!C$2:C$500)=3)*(MONTH(Registres!C$2:C$500)=$C$2)*(YEAR(Registres!C$2:C$500)=$E$2)*(TEXT(Registres!F$2:F$500,"0")=TEXT($A15,"0")))&gt;0,"✓",""),"")</f>
        <v/>
      </c>
      <c r="G15" s="17" t="str">
        <f aca="false">IF(4&lt;=DAY(EOMONTH(DATE($E$2,$C$2,1),0)),IF(SUMPRODUCT((DAY(Registres!C$2:C$500)=4)*(MONTH(Registres!C$2:C$500)=$C$2)*(YEAR(Registres!C$2:C$500)=$E$2)*(TEXT(Registres!F$2:F$500,"0")=TEXT($A15,"0")))&gt;0,"✓",""),"")</f>
        <v/>
      </c>
      <c r="H15" s="17" t="str">
        <f aca="false">IF(5&lt;=DAY(EOMONTH(DATE($E$2,$C$2,1),0)),IF(SUMPRODUCT((DAY(Registres!C$2:C$500)=5)*(MONTH(Registres!C$2:C$500)=$C$2)*(YEAR(Registres!C$2:C$500)=$E$2)*(TEXT(Registres!F$2:F$500,"0")=TEXT($A15,"0")))&gt;0,"✓",""),"")</f>
        <v/>
      </c>
      <c r="I15" s="17" t="str">
        <f aca="false">IF(6&lt;=DAY(EOMONTH(DATE($E$2,$C$2,1),0)),IF(SUMPRODUCT((DAY(Registres!C$2:C$500)=6)*(MONTH(Registres!C$2:C$500)=$C$2)*(YEAR(Registres!C$2:C$500)=$E$2)*(TEXT(Registres!F$2:F$500,"0")=TEXT($A15,"0")))&gt;0,"✓",""),"")</f>
        <v/>
      </c>
      <c r="J15" s="17" t="str">
        <f aca="false">IF(7&lt;=DAY(EOMONTH(DATE($E$2,$C$2,1),0)),IF(SUMPRODUCT((DAY(Registres!C$2:C$500)=7)*(MONTH(Registres!C$2:C$500)=$C$2)*(YEAR(Registres!C$2:C$500)=$E$2)*(TEXT(Registres!F$2:F$500,"0")=TEXT($A15,"0")))&gt;0,"✓",""),"")</f>
        <v/>
      </c>
      <c r="K15" s="17" t="str">
        <f aca="false">IF(8&lt;=DAY(EOMONTH(DATE($E$2,$C$2,1),0)),IF(SUMPRODUCT((DAY(Registres!C$2:C$500)=8)*(MONTH(Registres!C$2:C$500)=$C$2)*(YEAR(Registres!C$2:C$500)=$E$2)*(TEXT(Registres!F$2:F$500,"0")=TEXT($A15,"0")))&gt;0,"✓",""),"")</f>
        <v/>
      </c>
      <c r="L15" s="17" t="str">
        <f aca="false">IF(9&lt;=DAY(EOMONTH(DATE($E$2,$C$2,1),0)),IF(SUMPRODUCT((DAY(Registres!C$2:C$500)=9)*(MONTH(Registres!C$2:C$500)=$C$2)*(YEAR(Registres!C$2:C$500)=$E$2)*(TEXT(Registres!F$2:F$500,"0")=TEXT($A15,"0")))&gt;0,"✓",""),"")</f>
        <v/>
      </c>
      <c r="M15" s="17" t="str">
        <f aca="false">IF(10&lt;=DAY(EOMONTH(DATE($E$2,$C$2,1),0)),IF(SUMPRODUCT((DAY(Registres!C$2:C$500)=10)*(MONTH(Registres!C$2:C$500)=$C$2)*(YEAR(Registres!C$2:C$500)=$E$2)*(TEXT(Registres!F$2:F$500,"0")=TEXT($A15,"0")))&gt;0,"✓",""),"")</f>
        <v/>
      </c>
      <c r="N15" s="17" t="str">
        <f aca="false">IF(11&lt;=DAY(EOMONTH(DATE($E$2,$C$2,1),0)),IF(SUMPRODUCT((DAY(Registres!C$2:C$500)=11)*(MONTH(Registres!C$2:C$500)=$C$2)*(YEAR(Registres!C$2:C$500)=$E$2)*(TEXT(Registres!F$2:F$500,"0")=TEXT($A15,"0")))&gt;0,"✓",""),"")</f>
        <v/>
      </c>
      <c r="O15" s="17" t="str">
        <f aca="false">IF(12&lt;=DAY(EOMONTH(DATE($E$2,$C$2,1),0)),IF(SUMPRODUCT((DAY(Registres!C$2:C$500)=12)*(MONTH(Registres!C$2:C$500)=$C$2)*(YEAR(Registres!C$2:C$500)=$E$2)*(TEXT(Registres!F$2:F$500,"0")=TEXT($A15,"0")))&gt;0,"✓",""),"")</f>
        <v/>
      </c>
      <c r="P15" s="17" t="str">
        <f aca="false">IF(13&lt;=DAY(EOMONTH(DATE($E$2,$C$2,1),0)),IF(SUMPRODUCT((DAY(Registres!C$2:C$500)=13)*(MONTH(Registres!C$2:C$500)=$C$2)*(YEAR(Registres!C$2:C$500)=$E$2)*(TEXT(Registres!F$2:F$500,"0")=TEXT($A15,"0")))&gt;0,"✓",""),"")</f>
        <v/>
      </c>
      <c r="Q15" s="17" t="str">
        <f aca="false">IF(14&lt;=DAY(EOMONTH(DATE($E$2,$C$2,1),0)),IF(SUMPRODUCT((DAY(Registres!C$2:C$500)=14)*(MONTH(Registres!C$2:C$500)=$C$2)*(YEAR(Registres!C$2:C$500)=$E$2)*(TEXT(Registres!F$2:F$500,"0")=TEXT($A15,"0")))&gt;0,"✓",""),"")</f>
        <v/>
      </c>
      <c r="R15" s="17" t="str">
        <f aca="false">IF(15&lt;=DAY(EOMONTH(DATE($E$2,$C$2,1),0)),IF(SUMPRODUCT((DAY(Registres!C$2:C$500)=15)*(MONTH(Registres!C$2:C$500)=$C$2)*(YEAR(Registres!C$2:C$500)=$E$2)*(TEXT(Registres!F$2:F$500,"0")=TEXT($A15,"0")))&gt;0,"✓",""),"")</f>
        <v/>
      </c>
      <c r="S15" s="17" t="str">
        <f aca="false">IF(16&lt;=DAY(EOMONTH(DATE($E$2,$C$2,1),0)),IF(SUMPRODUCT((DAY(Registres!C$2:C$500)=16)*(MONTH(Registres!C$2:C$500)=$C$2)*(YEAR(Registres!C$2:C$500)=$E$2)*(TEXT(Registres!F$2:F$500,"0")=TEXT($A15,"0")))&gt;0,"✓",""),"")</f>
        <v/>
      </c>
      <c r="T15" s="17" t="str">
        <f aca="false">IF(17&lt;=DAY(EOMONTH(DATE($E$2,$C$2,1),0)),IF(SUMPRODUCT((DAY(Registres!C$2:C$500)=17)*(MONTH(Registres!C$2:C$500)=$C$2)*(YEAR(Registres!C$2:C$500)=$E$2)*(TEXT(Registres!F$2:F$500,"0")=TEXT($A15,"0")))&gt;0,"✓",""),"")</f>
        <v/>
      </c>
      <c r="U15" s="17" t="str">
        <f aca="false">IF(18&lt;=DAY(EOMONTH(DATE($E$2,$C$2,1),0)),IF(SUMPRODUCT((DAY(Registres!C$2:C$500)=18)*(MONTH(Registres!C$2:C$500)=$C$2)*(YEAR(Registres!C$2:C$500)=$E$2)*(TEXT(Registres!F$2:F$500,"0")=TEXT($A15,"0")))&gt;0,"✓",""),"")</f>
        <v/>
      </c>
      <c r="V15" s="17" t="str">
        <f aca="false">IF(19&lt;=DAY(EOMONTH(DATE($E$2,$C$2,1),0)),IF(SUMPRODUCT((DAY(Registres!C$2:C$500)=19)*(MONTH(Registres!C$2:C$500)=$C$2)*(YEAR(Registres!C$2:C$500)=$E$2)*(TEXT(Registres!F$2:F$500,"0")=TEXT($A15,"0")))&gt;0,"✓",""),"")</f>
        <v/>
      </c>
      <c r="W15" s="17" t="str">
        <f aca="false">IF(20&lt;=DAY(EOMONTH(DATE($E$2,$C$2,1),0)),IF(SUMPRODUCT((DAY(Registres!C$2:C$500)=20)*(MONTH(Registres!C$2:C$500)=$C$2)*(YEAR(Registres!C$2:C$500)=$E$2)*(TEXT(Registres!F$2:F$500,"0")=TEXT($A15,"0")))&gt;0,"✓",""),"")</f>
        <v/>
      </c>
      <c r="X15" s="17" t="str">
        <f aca="false">IF(21&lt;=DAY(EOMONTH(DATE($E$2,$C$2,1),0)),IF(SUMPRODUCT((DAY(Registres!C$2:C$500)=21)*(MONTH(Registres!C$2:C$500)=$C$2)*(YEAR(Registres!C$2:C$500)=$E$2)*(TEXT(Registres!F$2:F$500,"0")=TEXT($A15,"0")))&gt;0,"✓",""),"")</f>
        <v/>
      </c>
      <c r="Y15" s="17" t="str">
        <f aca="false">IF(22&lt;=DAY(EOMONTH(DATE($E$2,$C$2,1),0)),IF(SUMPRODUCT((DAY(Registres!C$2:C$500)=22)*(MONTH(Registres!C$2:C$500)=$C$2)*(YEAR(Registres!C$2:C$500)=$E$2)*(TEXT(Registres!F$2:F$500,"0")=TEXT($A15,"0")))&gt;0,"✓",""),"")</f>
        <v/>
      </c>
      <c r="Z15" s="17" t="str">
        <f aca="false">IF(23&lt;=DAY(EOMONTH(DATE($E$2,$C$2,1),0)),IF(SUMPRODUCT((DAY(Registres!C$2:C$500)=23)*(MONTH(Registres!C$2:C$500)=$C$2)*(YEAR(Registres!C$2:C$500)=$E$2)*(TEXT(Registres!F$2:F$500,"0")=TEXT($A15,"0")))&gt;0,"✓",""),"")</f>
        <v/>
      </c>
      <c r="AA15" s="17" t="str">
        <f aca="false">IF(24&lt;=DAY(EOMONTH(DATE($E$2,$C$2,1),0)),IF(SUMPRODUCT((DAY(Registres!C$2:C$500)=24)*(MONTH(Registres!C$2:C$500)=$C$2)*(YEAR(Registres!C$2:C$500)=$E$2)*(TEXT(Registres!F$2:F$500,"0")=TEXT($A15,"0")))&gt;0,"✓",""),"")</f>
        <v/>
      </c>
      <c r="AB15" s="17" t="str">
        <f aca="false">IF(25&lt;=DAY(EOMONTH(DATE($E$2,$C$2,1),0)),IF(SUMPRODUCT((DAY(Registres!C$2:C$500)=25)*(MONTH(Registres!C$2:C$500)=$C$2)*(YEAR(Registres!C$2:C$500)=$E$2)*(TEXT(Registres!F$2:F$500,"0")=TEXT($A15,"0")))&gt;0,"✓",""),"")</f>
        <v/>
      </c>
      <c r="AC15" s="17" t="str">
        <f aca="false">IF(26&lt;=DAY(EOMONTH(DATE($E$2,$C$2,1),0)),IF(SUMPRODUCT((DAY(Registres!C$2:C$500)=26)*(MONTH(Registres!C$2:C$500)=$C$2)*(YEAR(Registres!C$2:C$500)=$E$2)*(TEXT(Registres!F$2:F$500,"0")=TEXT($A15,"0")))&gt;0,"✓",""),"")</f>
        <v/>
      </c>
      <c r="AD15" s="17" t="str">
        <f aca="false">IF(27&lt;=DAY(EOMONTH(DATE($E$2,$C$2,1),0)),IF(SUMPRODUCT((DAY(Registres!C$2:C$500)=27)*(MONTH(Registres!C$2:C$500)=$C$2)*(YEAR(Registres!C$2:C$500)=$E$2)*(TEXT(Registres!F$2:F$500,"0")=TEXT($A15,"0")))&gt;0,"✓",""),"")</f>
        <v/>
      </c>
      <c r="AE15" s="17" t="str">
        <f aca="false">IF(28&lt;=DAY(EOMONTH(DATE($E$2,$C$2,1),0)),IF(SUMPRODUCT((DAY(Registres!C$2:C$500)=28)*(MONTH(Registres!C$2:C$500)=$C$2)*(YEAR(Registres!C$2:C$500)=$E$2)*(TEXT(Registres!F$2:F$500,"0")=TEXT($A15,"0")))&gt;0,"✓",""),"")</f>
        <v/>
      </c>
      <c r="AF15" s="17" t="str">
        <f aca="false">IF(29&lt;=DAY(EOMONTH(DATE($E$2,$C$2,1),0)),IF(SUMPRODUCT((DAY(Registres!C$2:C$500)=29)*(MONTH(Registres!C$2:C$500)=$C$2)*(YEAR(Registres!C$2:C$500)=$E$2)*(TEXT(Registres!F$2:F$500,"0")=TEXT($A15,"0")))&gt;0,"✓",""),"")</f>
        <v/>
      </c>
      <c r="AG15" s="17" t="str">
        <f aca="false">IF(30&lt;=DAY(EOMONTH(DATE($E$2,$C$2,1),0)),IF(SUMPRODUCT((DAY(Registres!C$2:C$500)=30)*(MONTH(Registres!C$2:C$500)=$C$2)*(YEAR(Registres!C$2:C$500)=$E$2)*(TEXT(Registres!F$2:F$500,"0")=TEXT($A15,"0")))&gt;0,"✓",""),"")</f>
        <v/>
      </c>
      <c r="AH15" s="17" t="str">
        <f aca="false">IF(31&lt;=DAY(EOMONTH(DATE($E$2,$C$2,1),0)),IF(SUMPRODUCT((DAY(Registres!C$2:C$500)=31)*(MONTH(Registres!C$2:C$500)=$C$2)*(YEAR(Registres!C$2:C$500)=$E$2)*(TEXT(Registres!F$2:F$500,"0")=TEXT($A15,"0")))&gt;0,"✓",""),"")</f>
        <v/>
      </c>
      <c r="AI15" s="18" t="n">
        <f aca="false">COUNTIF(D15:AH15,"✓")</f>
        <v>0</v>
      </c>
    </row>
    <row r="16" customFormat="false" ht="15" hidden="false" customHeight="false" outlineLevel="0" collapsed="false">
      <c r="A16" s="19" t="n">
        <v>12</v>
      </c>
      <c r="B16" s="20" t="s">
        <v>124</v>
      </c>
      <c r="C16" s="21" t="s">
        <v>113</v>
      </c>
      <c r="D16" s="17" t="str">
        <f aca="false">IF(1&lt;=DAY(EOMONTH(DATE($E$2,$C$2,1),0)),IF(SUMPRODUCT((DAY(Registres!C$2:C$500)=1)*(MONTH(Registres!C$2:C$500)=$C$2)*(YEAR(Registres!C$2:C$500)=$E$2)*(TEXT(Registres!F$2:F$500,"0")=TEXT($A16,"0")))&gt;0,"✓",""),"")</f>
        <v/>
      </c>
      <c r="E16" s="17" t="str">
        <f aca="false">IF(2&lt;=DAY(EOMONTH(DATE($E$2,$C$2,1),0)),IF(SUMPRODUCT((DAY(Registres!C$2:C$500)=2)*(MONTH(Registres!C$2:C$500)=$C$2)*(YEAR(Registres!C$2:C$500)=$E$2)*(TEXT(Registres!F$2:F$500,"0")=TEXT($A16,"0")))&gt;0,"✓",""),"")</f>
        <v/>
      </c>
      <c r="F16" s="17" t="str">
        <f aca="false">IF(3&lt;=DAY(EOMONTH(DATE($E$2,$C$2,1),0)),IF(SUMPRODUCT((DAY(Registres!C$2:C$500)=3)*(MONTH(Registres!C$2:C$500)=$C$2)*(YEAR(Registres!C$2:C$500)=$E$2)*(TEXT(Registres!F$2:F$500,"0")=TEXT($A16,"0")))&gt;0,"✓",""),"")</f>
        <v/>
      </c>
      <c r="G16" s="17" t="str">
        <f aca="false">IF(4&lt;=DAY(EOMONTH(DATE($E$2,$C$2,1),0)),IF(SUMPRODUCT((DAY(Registres!C$2:C$500)=4)*(MONTH(Registres!C$2:C$500)=$C$2)*(YEAR(Registres!C$2:C$500)=$E$2)*(TEXT(Registres!F$2:F$500,"0")=TEXT($A16,"0")))&gt;0,"✓",""),"")</f>
        <v/>
      </c>
      <c r="H16" s="17" t="str">
        <f aca="false">IF(5&lt;=DAY(EOMONTH(DATE($E$2,$C$2,1),0)),IF(SUMPRODUCT((DAY(Registres!C$2:C$500)=5)*(MONTH(Registres!C$2:C$500)=$C$2)*(YEAR(Registres!C$2:C$500)=$E$2)*(TEXT(Registres!F$2:F$500,"0")=TEXT($A16,"0")))&gt;0,"✓",""),"")</f>
        <v/>
      </c>
      <c r="I16" s="17" t="str">
        <f aca="false">IF(6&lt;=DAY(EOMONTH(DATE($E$2,$C$2,1),0)),IF(SUMPRODUCT((DAY(Registres!C$2:C$500)=6)*(MONTH(Registres!C$2:C$500)=$C$2)*(YEAR(Registres!C$2:C$500)=$E$2)*(TEXT(Registres!F$2:F$500,"0")=TEXT($A16,"0")))&gt;0,"✓",""),"")</f>
        <v/>
      </c>
      <c r="J16" s="17" t="str">
        <f aca="false">IF(7&lt;=DAY(EOMONTH(DATE($E$2,$C$2,1),0)),IF(SUMPRODUCT((DAY(Registres!C$2:C$500)=7)*(MONTH(Registres!C$2:C$500)=$C$2)*(YEAR(Registres!C$2:C$500)=$E$2)*(TEXT(Registres!F$2:F$500,"0")=TEXT($A16,"0")))&gt;0,"✓",""),"")</f>
        <v/>
      </c>
      <c r="K16" s="17" t="str">
        <f aca="false">IF(8&lt;=DAY(EOMONTH(DATE($E$2,$C$2,1),0)),IF(SUMPRODUCT((DAY(Registres!C$2:C$500)=8)*(MONTH(Registres!C$2:C$500)=$C$2)*(YEAR(Registres!C$2:C$500)=$E$2)*(TEXT(Registres!F$2:F$500,"0")=TEXT($A16,"0")))&gt;0,"✓",""),"")</f>
        <v/>
      </c>
      <c r="L16" s="17" t="str">
        <f aca="false">IF(9&lt;=DAY(EOMONTH(DATE($E$2,$C$2,1),0)),IF(SUMPRODUCT((DAY(Registres!C$2:C$500)=9)*(MONTH(Registres!C$2:C$500)=$C$2)*(YEAR(Registres!C$2:C$500)=$E$2)*(TEXT(Registres!F$2:F$500,"0")=TEXT($A16,"0")))&gt;0,"✓",""),"")</f>
        <v/>
      </c>
      <c r="M16" s="17" t="str">
        <f aca="false">IF(10&lt;=DAY(EOMONTH(DATE($E$2,$C$2,1),0)),IF(SUMPRODUCT((DAY(Registres!C$2:C$500)=10)*(MONTH(Registres!C$2:C$500)=$C$2)*(YEAR(Registres!C$2:C$500)=$E$2)*(TEXT(Registres!F$2:F$500,"0")=TEXT($A16,"0")))&gt;0,"✓",""),"")</f>
        <v/>
      </c>
      <c r="N16" s="17" t="str">
        <f aca="false">IF(11&lt;=DAY(EOMONTH(DATE($E$2,$C$2,1),0)),IF(SUMPRODUCT((DAY(Registres!C$2:C$500)=11)*(MONTH(Registres!C$2:C$500)=$C$2)*(YEAR(Registres!C$2:C$500)=$E$2)*(TEXT(Registres!F$2:F$500,"0")=TEXT($A16,"0")))&gt;0,"✓",""),"")</f>
        <v/>
      </c>
      <c r="O16" s="17" t="str">
        <f aca="false">IF(12&lt;=DAY(EOMONTH(DATE($E$2,$C$2,1),0)),IF(SUMPRODUCT((DAY(Registres!C$2:C$500)=12)*(MONTH(Registres!C$2:C$500)=$C$2)*(YEAR(Registres!C$2:C$500)=$E$2)*(TEXT(Registres!F$2:F$500,"0")=TEXT($A16,"0")))&gt;0,"✓",""),"")</f>
        <v/>
      </c>
      <c r="P16" s="17" t="str">
        <f aca="false">IF(13&lt;=DAY(EOMONTH(DATE($E$2,$C$2,1),0)),IF(SUMPRODUCT((DAY(Registres!C$2:C$500)=13)*(MONTH(Registres!C$2:C$500)=$C$2)*(YEAR(Registres!C$2:C$500)=$E$2)*(TEXT(Registres!F$2:F$500,"0")=TEXT($A16,"0")))&gt;0,"✓",""),"")</f>
        <v/>
      </c>
      <c r="Q16" s="17" t="str">
        <f aca="false">IF(14&lt;=DAY(EOMONTH(DATE($E$2,$C$2,1),0)),IF(SUMPRODUCT((DAY(Registres!C$2:C$500)=14)*(MONTH(Registres!C$2:C$500)=$C$2)*(YEAR(Registres!C$2:C$500)=$E$2)*(TEXT(Registres!F$2:F$500,"0")=TEXT($A16,"0")))&gt;0,"✓",""),"")</f>
        <v/>
      </c>
      <c r="R16" s="17" t="str">
        <f aca="false">IF(15&lt;=DAY(EOMONTH(DATE($E$2,$C$2,1),0)),IF(SUMPRODUCT((DAY(Registres!C$2:C$500)=15)*(MONTH(Registres!C$2:C$500)=$C$2)*(YEAR(Registres!C$2:C$500)=$E$2)*(TEXT(Registres!F$2:F$500,"0")=TEXT($A16,"0")))&gt;0,"✓",""),"")</f>
        <v/>
      </c>
      <c r="S16" s="17" t="str">
        <f aca="false">IF(16&lt;=DAY(EOMONTH(DATE($E$2,$C$2,1),0)),IF(SUMPRODUCT((DAY(Registres!C$2:C$500)=16)*(MONTH(Registres!C$2:C$500)=$C$2)*(YEAR(Registres!C$2:C$500)=$E$2)*(TEXT(Registres!F$2:F$500,"0")=TEXT($A16,"0")))&gt;0,"✓",""),"")</f>
        <v/>
      </c>
      <c r="T16" s="17" t="str">
        <f aca="false">IF(17&lt;=DAY(EOMONTH(DATE($E$2,$C$2,1),0)),IF(SUMPRODUCT((DAY(Registres!C$2:C$500)=17)*(MONTH(Registres!C$2:C$500)=$C$2)*(YEAR(Registres!C$2:C$500)=$E$2)*(TEXT(Registres!F$2:F$500,"0")=TEXT($A16,"0")))&gt;0,"✓",""),"")</f>
        <v/>
      </c>
      <c r="U16" s="17" t="str">
        <f aca="false">IF(18&lt;=DAY(EOMONTH(DATE($E$2,$C$2,1),0)),IF(SUMPRODUCT((DAY(Registres!C$2:C$500)=18)*(MONTH(Registres!C$2:C$500)=$C$2)*(YEAR(Registres!C$2:C$500)=$E$2)*(TEXT(Registres!F$2:F$500,"0")=TEXT($A16,"0")))&gt;0,"✓",""),"")</f>
        <v/>
      </c>
      <c r="V16" s="17" t="str">
        <f aca="false">IF(19&lt;=DAY(EOMONTH(DATE($E$2,$C$2,1),0)),IF(SUMPRODUCT((DAY(Registres!C$2:C$500)=19)*(MONTH(Registres!C$2:C$500)=$C$2)*(YEAR(Registres!C$2:C$500)=$E$2)*(TEXT(Registres!F$2:F$500,"0")=TEXT($A16,"0")))&gt;0,"✓",""),"")</f>
        <v/>
      </c>
      <c r="W16" s="17" t="str">
        <f aca="false">IF(20&lt;=DAY(EOMONTH(DATE($E$2,$C$2,1),0)),IF(SUMPRODUCT((DAY(Registres!C$2:C$500)=20)*(MONTH(Registres!C$2:C$500)=$C$2)*(YEAR(Registres!C$2:C$500)=$E$2)*(TEXT(Registres!F$2:F$500,"0")=TEXT($A16,"0")))&gt;0,"✓",""),"")</f>
        <v/>
      </c>
      <c r="X16" s="17" t="str">
        <f aca="false">IF(21&lt;=DAY(EOMONTH(DATE($E$2,$C$2,1),0)),IF(SUMPRODUCT((DAY(Registres!C$2:C$500)=21)*(MONTH(Registres!C$2:C$500)=$C$2)*(YEAR(Registres!C$2:C$500)=$E$2)*(TEXT(Registres!F$2:F$500,"0")=TEXT($A16,"0")))&gt;0,"✓",""),"")</f>
        <v/>
      </c>
      <c r="Y16" s="17" t="str">
        <f aca="false">IF(22&lt;=DAY(EOMONTH(DATE($E$2,$C$2,1),0)),IF(SUMPRODUCT((DAY(Registres!C$2:C$500)=22)*(MONTH(Registres!C$2:C$500)=$C$2)*(YEAR(Registres!C$2:C$500)=$E$2)*(TEXT(Registres!F$2:F$500,"0")=TEXT($A16,"0")))&gt;0,"✓",""),"")</f>
        <v/>
      </c>
      <c r="Z16" s="17" t="str">
        <f aca="false">IF(23&lt;=DAY(EOMONTH(DATE($E$2,$C$2,1),0)),IF(SUMPRODUCT((DAY(Registres!C$2:C$500)=23)*(MONTH(Registres!C$2:C$500)=$C$2)*(YEAR(Registres!C$2:C$500)=$E$2)*(TEXT(Registres!F$2:F$500,"0")=TEXT($A16,"0")))&gt;0,"✓",""),"")</f>
        <v/>
      </c>
      <c r="AA16" s="17" t="str">
        <f aca="false">IF(24&lt;=DAY(EOMONTH(DATE($E$2,$C$2,1),0)),IF(SUMPRODUCT((DAY(Registres!C$2:C$500)=24)*(MONTH(Registres!C$2:C$500)=$C$2)*(YEAR(Registres!C$2:C$500)=$E$2)*(TEXT(Registres!F$2:F$500,"0")=TEXT($A16,"0")))&gt;0,"✓",""),"")</f>
        <v/>
      </c>
      <c r="AB16" s="17" t="str">
        <f aca="false">IF(25&lt;=DAY(EOMONTH(DATE($E$2,$C$2,1),0)),IF(SUMPRODUCT((DAY(Registres!C$2:C$500)=25)*(MONTH(Registres!C$2:C$500)=$C$2)*(YEAR(Registres!C$2:C$500)=$E$2)*(TEXT(Registres!F$2:F$500,"0")=TEXT($A16,"0")))&gt;0,"✓",""),"")</f>
        <v/>
      </c>
      <c r="AC16" s="17" t="str">
        <f aca="false">IF(26&lt;=DAY(EOMONTH(DATE($E$2,$C$2,1),0)),IF(SUMPRODUCT((DAY(Registres!C$2:C$500)=26)*(MONTH(Registres!C$2:C$500)=$C$2)*(YEAR(Registres!C$2:C$500)=$E$2)*(TEXT(Registres!F$2:F$500,"0")=TEXT($A16,"0")))&gt;0,"✓",""),"")</f>
        <v/>
      </c>
      <c r="AD16" s="17" t="str">
        <f aca="false">IF(27&lt;=DAY(EOMONTH(DATE($E$2,$C$2,1),0)),IF(SUMPRODUCT((DAY(Registres!C$2:C$500)=27)*(MONTH(Registres!C$2:C$500)=$C$2)*(YEAR(Registres!C$2:C$500)=$E$2)*(TEXT(Registres!F$2:F$500,"0")=TEXT($A16,"0")))&gt;0,"✓",""),"")</f>
        <v/>
      </c>
      <c r="AE16" s="17" t="str">
        <f aca="false">IF(28&lt;=DAY(EOMONTH(DATE($E$2,$C$2,1),0)),IF(SUMPRODUCT((DAY(Registres!C$2:C$500)=28)*(MONTH(Registres!C$2:C$500)=$C$2)*(YEAR(Registres!C$2:C$500)=$E$2)*(TEXT(Registres!F$2:F$500,"0")=TEXT($A16,"0")))&gt;0,"✓",""),"")</f>
        <v/>
      </c>
      <c r="AF16" s="17" t="str">
        <f aca="false">IF(29&lt;=DAY(EOMONTH(DATE($E$2,$C$2,1),0)),IF(SUMPRODUCT((DAY(Registres!C$2:C$500)=29)*(MONTH(Registres!C$2:C$500)=$C$2)*(YEAR(Registres!C$2:C$500)=$E$2)*(TEXT(Registres!F$2:F$500,"0")=TEXT($A16,"0")))&gt;0,"✓",""),"")</f>
        <v/>
      </c>
      <c r="AG16" s="17" t="str">
        <f aca="false">IF(30&lt;=DAY(EOMONTH(DATE($E$2,$C$2,1),0)),IF(SUMPRODUCT((DAY(Registres!C$2:C$500)=30)*(MONTH(Registres!C$2:C$500)=$C$2)*(YEAR(Registres!C$2:C$500)=$E$2)*(TEXT(Registres!F$2:F$500,"0")=TEXT($A16,"0")))&gt;0,"✓",""),"")</f>
        <v/>
      </c>
      <c r="AH16" s="17" t="str">
        <f aca="false">IF(31&lt;=DAY(EOMONTH(DATE($E$2,$C$2,1),0)),IF(SUMPRODUCT((DAY(Registres!C$2:C$500)=31)*(MONTH(Registres!C$2:C$500)=$C$2)*(YEAR(Registres!C$2:C$500)=$E$2)*(TEXT(Registres!F$2:F$500,"0")=TEXT($A16,"0")))&gt;0,"✓",""),"")</f>
        <v/>
      </c>
      <c r="AI16" s="18" t="n">
        <f aca="false">COUNTIF(D16:AH16,"✓")</f>
        <v>0</v>
      </c>
    </row>
    <row r="17" customFormat="false" ht="15" hidden="false" customHeight="false" outlineLevel="0" collapsed="false">
      <c r="A17" s="14" t="n">
        <v>13</v>
      </c>
      <c r="B17" s="15" t="s">
        <v>125</v>
      </c>
      <c r="C17" s="16" t="s">
        <v>113</v>
      </c>
      <c r="D17" s="17" t="str">
        <f aca="false">IF(1&lt;=DAY(EOMONTH(DATE($E$2,$C$2,1),0)),IF(SUMPRODUCT((DAY(Registres!C$2:C$500)=1)*(MONTH(Registres!C$2:C$500)=$C$2)*(YEAR(Registres!C$2:C$500)=$E$2)*(TEXT(Registres!F$2:F$500,"0")=TEXT($A17,"0")))&gt;0,"✓",""),"")</f>
        <v/>
      </c>
      <c r="E17" s="17" t="str">
        <f aca="false">IF(2&lt;=DAY(EOMONTH(DATE($E$2,$C$2,1),0)),IF(SUMPRODUCT((DAY(Registres!C$2:C$500)=2)*(MONTH(Registres!C$2:C$500)=$C$2)*(YEAR(Registres!C$2:C$500)=$E$2)*(TEXT(Registres!F$2:F$500,"0")=TEXT($A17,"0")))&gt;0,"✓",""),"")</f>
        <v/>
      </c>
      <c r="F17" s="17" t="str">
        <f aca="false">IF(3&lt;=DAY(EOMONTH(DATE($E$2,$C$2,1),0)),IF(SUMPRODUCT((DAY(Registres!C$2:C$500)=3)*(MONTH(Registres!C$2:C$500)=$C$2)*(YEAR(Registres!C$2:C$500)=$E$2)*(TEXT(Registres!F$2:F$500,"0")=TEXT($A17,"0")))&gt;0,"✓",""),"")</f>
        <v/>
      </c>
      <c r="G17" s="17" t="str">
        <f aca="false">IF(4&lt;=DAY(EOMONTH(DATE($E$2,$C$2,1),0)),IF(SUMPRODUCT((DAY(Registres!C$2:C$500)=4)*(MONTH(Registres!C$2:C$500)=$C$2)*(YEAR(Registres!C$2:C$500)=$E$2)*(TEXT(Registres!F$2:F$500,"0")=TEXT($A17,"0")))&gt;0,"✓",""),"")</f>
        <v/>
      </c>
      <c r="H17" s="17" t="str">
        <f aca="false">IF(5&lt;=DAY(EOMONTH(DATE($E$2,$C$2,1),0)),IF(SUMPRODUCT((DAY(Registres!C$2:C$500)=5)*(MONTH(Registres!C$2:C$500)=$C$2)*(YEAR(Registres!C$2:C$500)=$E$2)*(TEXT(Registres!F$2:F$500,"0")=TEXT($A17,"0")))&gt;0,"✓",""),"")</f>
        <v/>
      </c>
      <c r="I17" s="17" t="str">
        <f aca="false">IF(6&lt;=DAY(EOMONTH(DATE($E$2,$C$2,1),0)),IF(SUMPRODUCT((DAY(Registres!C$2:C$500)=6)*(MONTH(Registres!C$2:C$500)=$C$2)*(YEAR(Registres!C$2:C$500)=$E$2)*(TEXT(Registres!F$2:F$500,"0")=TEXT($A17,"0")))&gt;0,"✓",""),"")</f>
        <v/>
      </c>
      <c r="J17" s="17" t="str">
        <f aca="false">IF(7&lt;=DAY(EOMONTH(DATE($E$2,$C$2,1),0)),IF(SUMPRODUCT((DAY(Registres!C$2:C$500)=7)*(MONTH(Registres!C$2:C$500)=$C$2)*(YEAR(Registres!C$2:C$500)=$E$2)*(TEXT(Registres!F$2:F$500,"0")=TEXT($A17,"0")))&gt;0,"✓",""),"")</f>
        <v/>
      </c>
      <c r="K17" s="17" t="str">
        <f aca="false">IF(8&lt;=DAY(EOMONTH(DATE($E$2,$C$2,1),0)),IF(SUMPRODUCT((DAY(Registres!C$2:C$500)=8)*(MONTH(Registres!C$2:C$500)=$C$2)*(YEAR(Registres!C$2:C$500)=$E$2)*(TEXT(Registres!F$2:F$500,"0")=TEXT($A17,"0")))&gt;0,"✓",""),"")</f>
        <v/>
      </c>
      <c r="L17" s="17" t="str">
        <f aca="false">IF(9&lt;=DAY(EOMONTH(DATE($E$2,$C$2,1),0)),IF(SUMPRODUCT((DAY(Registres!C$2:C$500)=9)*(MONTH(Registres!C$2:C$500)=$C$2)*(YEAR(Registres!C$2:C$500)=$E$2)*(TEXT(Registres!F$2:F$500,"0")=TEXT($A17,"0")))&gt;0,"✓",""),"")</f>
        <v/>
      </c>
      <c r="M17" s="17" t="str">
        <f aca="false">IF(10&lt;=DAY(EOMONTH(DATE($E$2,$C$2,1),0)),IF(SUMPRODUCT((DAY(Registres!C$2:C$500)=10)*(MONTH(Registres!C$2:C$500)=$C$2)*(YEAR(Registres!C$2:C$500)=$E$2)*(TEXT(Registres!F$2:F$500,"0")=TEXT($A17,"0")))&gt;0,"✓",""),"")</f>
        <v/>
      </c>
      <c r="N17" s="17" t="str">
        <f aca="false">IF(11&lt;=DAY(EOMONTH(DATE($E$2,$C$2,1),0)),IF(SUMPRODUCT((DAY(Registres!C$2:C$500)=11)*(MONTH(Registres!C$2:C$500)=$C$2)*(YEAR(Registres!C$2:C$500)=$E$2)*(TEXT(Registres!F$2:F$500,"0")=TEXT($A17,"0")))&gt;0,"✓",""),"")</f>
        <v/>
      </c>
      <c r="O17" s="17" t="str">
        <f aca="false">IF(12&lt;=DAY(EOMONTH(DATE($E$2,$C$2,1),0)),IF(SUMPRODUCT((DAY(Registres!C$2:C$500)=12)*(MONTH(Registres!C$2:C$500)=$C$2)*(YEAR(Registres!C$2:C$500)=$E$2)*(TEXT(Registres!F$2:F$500,"0")=TEXT($A17,"0")))&gt;0,"✓",""),"")</f>
        <v/>
      </c>
      <c r="P17" s="17" t="str">
        <f aca="false">IF(13&lt;=DAY(EOMONTH(DATE($E$2,$C$2,1),0)),IF(SUMPRODUCT((DAY(Registres!C$2:C$500)=13)*(MONTH(Registres!C$2:C$500)=$C$2)*(YEAR(Registres!C$2:C$500)=$E$2)*(TEXT(Registres!F$2:F$500,"0")=TEXT($A17,"0")))&gt;0,"✓",""),"")</f>
        <v/>
      </c>
      <c r="Q17" s="17" t="str">
        <f aca="false">IF(14&lt;=DAY(EOMONTH(DATE($E$2,$C$2,1),0)),IF(SUMPRODUCT((DAY(Registres!C$2:C$500)=14)*(MONTH(Registres!C$2:C$500)=$C$2)*(YEAR(Registres!C$2:C$500)=$E$2)*(TEXT(Registres!F$2:F$500,"0")=TEXT($A17,"0")))&gt;0,"✓",""),"")</f>
        <v/>
      </c>
      <c r="R17" s="17" t="str">
        <f aca="false">IF(15&lt;=DAY(EOMONTH(DATE($E$2,$C$2,1),0)),IF(SUMPRODUCT((DAY(Registres!C$2:C$500)=15)*(MONTH(Registres!C$2:C$500)=$C$2)*(YEAR(Registres!C$2:C$500)=$E$2)*(TEXT(Registres!F$2:F$500,"0")=TEXT($A17,"0")))&gt;0,"✓",""),"")</f>
        <v/>
      </c>
      <c r="S17" s="17" t="str">
        <f aca="false">IF(16&lt;=DAY(EOMONTH(DATE($E$2,$C$2,1),0)),IF(SUMPRODUCT((DAY(Registres!C$2:C$500)=16)*(MONTH(Registres!C$2:C$500)=$C$2)*(YEAR(Registres!C$2:C$500)=$E$2)*(TEXT(Registres!F$2:F$500,"0")=TEXT($A17,"0")))&gt;0,"✓",""),"")</f>
        <v/>
      </c>
      <c r="T17" s="17" t="str">
        <f aca="false">IF(17&lt;=DAY(EOMONTH(DATE($E$2,$C$2,1),0)),IF(SUMPRODUCT((DAY(Registres!C$2:C$500)=17)*(MONTH(Registres!C$2:C$500)=$C$2)*(YEAR(Registres!C$2:C$500)=$E$2)*(TEXT(Registres!F$2:F$500,"0")=TEXT($A17,"0")))&gt;0,"✓",""),"")</f>
        <v/>
      </c>
      <c r="U17" s="17" t="str">
        <f aca="false">IF(18&lt;=DAY(EOMONTH(DATE($E$2,$C$2,1),0)),IF(SUMPRODUCT((DAY(Registres!C$2:C$500)=18)*(MONTH(Registres!C$2:C$500)=$C$2)*(YEAR(Registres!C$2:C$500)=$E$2)*(TEXT(Registres!F$2:F$500,"0")=TEXT($A17,"0")))&gt;0,"✓",""),"")</f>
        <v/>
      </c>
      <c r="V17" s="17" t="str">
        <f aca="false">IF(19&lt;=DAY(EOMONTH(DATE($E$2,$C$2,1),0)),IF(SUMPRODUCT((DAY(Registres!C$2:C$500)=19)*(MONTH(Registres!C$2:C$500)=$C$2)*(YEAR(Registres!C$2:C$500)=$E$2)*(TEXT(Registres!F$2:F$500,"0")=TEXT($A17,"0")))&gt;0,"✓",""),"")</f>
        <v/>
      </c>
      <c r="W17" s="17" t="str">
        <f aca="false">IF(20&lt;=DAY(EOMONTH(DATE($E$2,$C$2,1),0)),IF(SUMPRODUCT((DAY(Registres!C$2:C$500)=20)*(MONTH(Registres!C$2:C$500)=$C$2)*(YEAR(Registres!C$2:C$500)=$E$2)*(TEXT(Registres!F$2:F$500,"0")=TEXT($A17,"0")))&gt;0,"✓",""),"")</f>
        <v/>
      </c>
      <c r="X17" s="17" t="str">
        <f aca="false">IF(21&lt;=DAY(EOMONTH(DATE($E$2,$C$2,1),0)),IF(SUMPRODUCT((DAY(Registres!C$2:C$500)=21)*(MONTH(Registres!C$2:C$500)=$C$2)*(YEAR(Registres!C$2:C$500)=$E$2)*(TEXT(Registres!F$2:F$500,"0")=TEXT($A17,"0")))&gt;0,"✓",""),"")</f>
        <v/>
      </c>
      <c r="Y17" s="17" t="str">
        <f aca="false">IF(22&lt;=DAY(EOMONTH(DATE($E$2,$C$2,1),0)),IF(SUMPRODUCT((DAY(Registres!C$2:C$500)=22)*(MONTH(Registres!C$2:C$500)=$C$2)*(YEAR(Registres!C$2:C$500)=$E$2)*(TEXT(Registres!F$2:F$500,"0")=TEXT($A17,"0")))&gt;0,"✓",""),"")</f>
        <v/>
      </c>
      <c r="Z17" s="17" t="str">
        <f aca="false">IF(23&lt;=DAY(EOMONTH(DATE($E$2,$C$2,1),0)),IF(SUMPRODUCT((DAY(Registres!C$2:C$500)=23)*(MONTH(Registres!C$2:C$500)=$C$2)*(YEAR(Registres!C$2:C$500)=$E$2)*(TEXT(Registres!F$2:F$500,"0")=TEXT($A17,"0")))&gt;0,"✓",""),"")</f>
        <v/>
      </c>
      <c r="AA17" s="17" t="str">
        <f aca="false">IF(24&lt;=DAY(EOMONTH(DATE($E$2,$C$2,1),0)),IF(SUMPRODUCT((DAY(Registres!C$2:C$500)=24)*(MONTH(Registres!C$2:C$500)=$C$2)*(YEAR(Registres!C$2:C$500)=$E$2)*(TEXT(Registres!F$2:F$500,"0")=TEXT($A17,"0")))&gt;0,"✓",""),"")</f>
        <v/>
      </c>
      <c r="AB17" s="17" t="str">
        <f aca="false">IF(25&lt;=DAY(EOMONTH(DATE($E$2,$C$2,1),0)),IF(SUMPRODUCT((DAY(Registres!C$2:C$500)=25)*(MONTH(Registres!C$2:C$500)=$C$2)*(YEAR(Registres!C$2:C$500)=$E$2)*(TEXT(Registres!F$2:F$500,"0")=TEXT($A17,"0")))&gt;0,"✓",""),"")</f>
        <v/>
      </c>
      <c r="AC17" s="17" t="str">
        <f aca="false">IF(26&lt;=DAY(EOMONTH(DATE($E$2,$C$2,1),0)),IF(SUMPRODUCT((DAY(Registres!C$2:C$500)=26)*(MONTH(Registres!C$2:C$500)=$C$2)*(YEAR(Registres!C$2:C$500)=$E$2)*(TEXT(Registres!F$2:F$500,"0")=TEXT($A17,"0")))&gt;0,"✓",""),"")</f>
        <v/>
      </c>
      <c r="AD17" s="17" t="str">
        <f aca="false">IF(27&lt;=DAY(EOMONTH(DATE($E$2,$C$2,1),0)),IF(SUMPRODUCT((DAY(Registres!C$2:C$500)=27)*(MONTH(Registres!C$2:C$500)=$C$2)*(YEAR(Registres!C$2:C$500)=$E$2)*(TEXT(Registres!F$2:F$500,"0")=TEXT($A17,"0")))&gt;0,"✓",""),"")</f>
        <v/>
      </c>
      <c r="AE17" s="17" t="str">
        <f aca="false">IF(28&lt;=DAY(EOMONTH(DATE($E$2,$C$2,1),0)),IF(SUMPRODUCT((DAY(Registres!C$2:C$500)=28)*(MONTH(Registres!C$2:C$500)=$C$2)*(YEAR(Registres!C$2:C$500)=$E$2)*(TEXT(Registres!F$2:F$500,"0")=TEXT($A17,"0")))&gt;0,"✓",""),"")</f>
        <v/>
      </c>
      <c r="AF17" s="17" t="str">
        <f aca="false">IF(29&lt;=DAY(EOMONTH(DATE($E$2,$C$2,1),0)),IF(SUMPRODUCT((DAY(Registres!C$2:C$500)=29)*(MONTH(Registres!C$2:C$500)=$C$2)*(YEAR(Registres!C$2:C$500)=$E$2)*(TEXT(Registres!F$2:F$500,"0")=TEXT($A17,"0")))&gt;0,"✓",""),"")</f>
        <v/>
      </c>
      <c r="AG17" s="17" t="str">
        <f aca="false">IF(30&lt;=DAY(EOMONTH(DATE($E$2,$C$2,1),0)),IF(SUMPRODUCT((DAY(Registres!C$2:C$500)=30)*(MONTH(Registres!C$2:C$500)=$C$2)*(YEAR(Registres!C$2:C$500)=$E$2)*(TEXT(Registres!F$2:F$500,"0")=TEXT($A17,"0")))&gt;0,"✓",""),"")</f>
        <v/>
      </c>
      <c r="AH17" s="17" t="str">
        <f aca="false">IF(31&lt;=DAY(EOMONTH(DATE($E$2,$C$2,1),0)),IF(SUMPRODUCT((DAY(Registres!C$2:C$500)=31)*(MONTH(Registres!C$2:C$500)=$C$2)*(YEAR(Registres!C$2:C$500)=$E$2)*(TEXT(Registres!F$2:F$500,"0")=TEXT($A17,"0")))&gt;0,"✓",""),"")</f>
        <v/>
      </c>
      <c r="AI17" s="18" t="n">
        <f aca="false">COUNTIF(D17:AH17,"✓")</f>
        <v>0</v>
      </c>
    </row>
    <row r="18" customFormat="false" ht="15" hidden="false" customHeight="false" outlineLevel="0" collapsed="false">
      <c r="A18" s="19" t="n">
        <v>14</v>
      </c>
      <c r="B18" s="20" t="s">
        <v>126</v>
      </c>
      <c r="C18" s="21" t="s">
        <v>113</v>
      </c>
      <c r="D18" s="17" t="str">
        <f aca="false">IF(1&lt;=DAY(EOMONTH(DATE($E$2,$C$2,1),0)),IF(SUMPRODUCT((DAY(Registres!C$2:C$500)=1)*(MONTH(Registres!C$2:C$500)=$C$2)*(YEAR(Registres!C$2:C$500)=$E$2)*(TEXT(Registres!F$2:F$500,"0")=TEXT($A18,"0")))&gt;0,"✓",""),"")</f>
        <v/>
      </c>
      <c r="E18" s="17" t="str">
        <f aca="false">IF(2&lt;=DAY(EOMONTH(DATE($E$2,$C$2,1),0)),IF(SUMPRODUCT((DAY(Registres!C$2:C$500)=2)*(MONTH(Registres!C$2:C$500)=$C$2)*(YEAR(Registres!C$2:C$500)=$E$2)*(TEXT(Registres!F$2:F$500,"0")=TEXT($A18,"0")))&gt;0,"✓",""),"")</f>
        <v/>
      </c>
      <c r="F18" s="17" t="str">
        <f aca="false">IF(3&lt;=DAY(EOMONTH(DATE($E$2,$C$2,1),0)),IF(SUMPRODUCT((DAY(Registres!C$2:C$500)=3)*(MONTH(Registres!C$2:C$500)=$C$2)*(YEAR(Registres!C$2:C$500)=$E$2)*(TEXT(Registres!F$2:F$500,"0")=TEXT($A18,"0")))&gt;0,"✓",""),"")</f>
        <v/>
      </c>
      <c r="G18" s="17" t="str">
        <f aca="false">IF(4&lt;=DAY(EOMONTH(DATE($E$2,$C$2,1),0)),IF(SUMPRODUCT((DAY(Registres!C$2:C$500)=4)*(MONTH(Registres!C$2:C$500)=$C$2)*(YEAR(Registres!C$2:C$500)=$E$2)*(TEXT(Registres!F$2:F$500,"0")=TEXT($A18,"0")))&gt;0,"✓",""),"")</f>
        <v/>
      </c>
      <c r="H18" s="17" t="str">
        <f aca="false">IF(5&lt;=DAY(EOMONTH(DATE($E$2,$C$2,1),0)),IF(SUMPRODUCT((DAY(Registres!C$2:C$500)=5)*(MONTH(Registres!C$2:C$500)=$C$2)*(YEAR(Registres!C$2:C$500)=$E$2)*(TEXT(Registres!F$2:F$500,"0")=TEXT($A18,"0")))&gt;0,"✓",""),"")</f>
        <v/>
      </c>
      <c r="I18" s="17" t="str">
        <f aca="false">IF(6&lt;=DAY(EOMONTH(DATE($E$2,$C$2,1),0)),IF(SUMPRODUCT((DAY(Registres!C$2:C$500)=6)*(MONTH(Registres!C$2:C$500)=$C$2)*(YEAR(Registres!C$2:C$500)=$E$2)*(TEXT(Registres!F$2:F$500,"0")=TEXT($A18,"0")))&gt;0,"✓",""),"")</f>
        <v/>
      </c>
      <c r="J18" s="17" t="str">
        <f aca="false">IF(7&lt;=DAY(EOMONTH(DATE($E$2,$C$2,1),0)),IF(SUMPRODUCT((DAY(Registres!C$2:C$500)=7)*(MONTH(Registres!C$2:C$500)=$C$2)*(YEAR(Registres!C$2:C$500)=$E$2)*(TEXT(Registres!F$2:F$500,"0")=TEXT($A18,"0")))&gt;0,"✓",""),"")</f>
        <v/>
      </c>
      <c r="K18" s="17" t="str">
        <f aca="false">IF(8&lt;=DAY(EOMONTH(DATE($E$2,$C$2,1),0)),IF(SUMPRODUCT((DAY(Registres!C$2:C$500)=8)*(MONTH(Registres!C$2:C$500)=$C$2)*(YEAR(Registres!C$2:C$500)=$E$2)*(TEXT(Registres!F$2:F$500,"0")=TEXT($A18,"0")))&gt;0,"✓",""),"")</f>
        <v/>
      </c>
      <c r="L18" s="17" t="str">
        <f aca="false">IF(9&lt;=DAY(EOMONTH(DATE($E$2,$C$2,1),0)),IF(SUMPRODUCT((DAY(Registres!C$2:C$500)=9)*(MONTH(Registres!C$2:C$500)=$C$2)*(YEAR(Registres!C$2:C$500)=$E$2)*(TEXT(Registres!F$2:F$500,"0")=TEXT($A18,"0")))&gt;0,"✓",""),"")</f>
        <v/>
      </c>
      <c r="M18" s="17" t="str">
        <f aca="false">IF(10&lt;=DAY(EOMONTH(DATE($E$2,$C$2,1),0)),IF(SUMPRODUCT((DAY(Registres!C$2:C$500)=10)*(MONTH(Registres!C$2:C$500)=$C$2)*(YEAR(Registres!C$2:C$500)=$E$2)*(TEXT(Registres!F$2:F$500,"0")=TEXT($A18,"0")))&gt;0,"✓",""),"")</f>
        <v/>
      </c>
      <c r="N18" s="17" t="str">
        <f aca="false">IF(11&lt;=DAY(EOMONTH(DATE($E$2,$C$2,1),0)),IF(SUMPRODUCT((DAY(Registres!C$2:C$500)=11)*(MONTH(Registres!C$2:C$500)=$C$2)*(YEAR(Registres!C$2:C$500)=$E$2)*(TEXT(Registres!F$2:F$500,"0")=TEXT($A18,"0")))&gt;0,"✓",""),"")</f>
        <v/>
      </c>
      <c r="O18" s="17" t="str">
        <f aca="false">IF(12&lt;=DAY(EOMONTH(DATE($E$2,$C$2,1),0)),IF(SUMPRODUCT((DAY(Registres!C$2:C$500)=12)*(MONTH(Registres!C$2:C$500)=$C$2)*(YEAR(Registres!C$2:C$500)=$E$2)*(TEXT(Registres!F$2:F$500,"0")=TEXT($A18,"0")))&gt;0,"✓",""),"")</f>
        <v/>
      </c>
      <c r="P18" s="17" t="str">
        <f aca="false">IF(13&lt;=DAY(EOMONTH(DATE($E$2,$C$2,1),0)),IF(SUMPRODUCT((DAY(Registres!C$2:C$500)=13)*(MONTH(Registres!C$2:C$500)=$C$2)*(YEAR(Registres!C$2:C$500)=$E$2)*(TEXT(Registres!F$2:F$500,"0")=TEXT($A18,"0")))&gt;0,"✓",""),"")</f>
        <v/>
      </c>
      <c r="Q18" s="17" t="str">
        <f aca="false">IF(14&lt;=DAY(EOMONTH(DATE($E$2,$C$2,1),0)),IF(SUMPRODUCT((DAY(Registres!C$2:C$500)=14)*(MONTH(Registres!C$2:C$500)=$C$2)*(YEAR(Registres!C$2:C$500)=$E$2)*(TEXT(Registres!F$2:F$500,"0")=TEXT($A18,"0")))&gt;0,"✓",""),"")</f>
        <v/>
      </c>
      <c r="R18" s="17" t="str">
        <f aca="false">IF(15&lt;=DAY(EOMONTH(DATE($E$2,$C$2,1),0)),IF(SUMPRODUCT((DAY(Registres!C$2:C$500)=15)*(MONTH(Registres!C$2:C$500)=$C$2)*(YEAR(Registres!C$2:C$500)=$E$2)*(TEXT(Registres!F$2:F$500,"0")=TEXT($A18,"0")))&gt;0,"✓",""),"")</f>
        <v/>
      </c>
      <c r="S18" s="17" t="str">
        <f aca="false">IF(16&lt;=DAY(EOMONTH(DATE($E$2,$C$2,1),0)),IF(SUMPRODUCT((DAY(Registres!C$2:C$500)=16)*(MONTH(Registres!C$2:C$500)=$C$2)*(YEAR(Registres!C$2:C$500)=$E$2)*(TEXT(Registres!F$2:F$500,"0")=TEXT($A18,"0")))&gt;0,"✓",""),"")</f>
        <v/>
      </c>
      <c r="T18" s="17" t="str">
        <f aca="false">IF(17&lt;=DAY(EOMONTH(DATE($E$2,$C$2,1),0)),IF(SUMPRODUCT((DAY(Registres!C$2:C$500)=17)*(MONTH(Registres!C$2:C$500)=$C$2)*(YEAR(Registres!C$2:C$500)=$E$2)*(TEXT(Registres!F$2:F$500,"0")=TEXT($A18,"0")))&gt;0,"✓",""),"")</f>
        <v/>
      </c>
      <c r="U18" s="17" t="str">
        <f aca="false">IF(18&lt;=DAY(EOMONTH(DATE($E$2,$C$2,1),0)),IF(SUMPRODUCT((DAY(Registres!C$2:C$500)=18)*(MONTH(Registres!C$2:C$500)=$C$2)*(YEAR(Registres!C$2:C$500)=$E$2)*(TEXT(Registres!F$2:F$500,"0")=TEXT($A18,"0")))&gt;0,"✓",""),"")</f>
        <v/>
      </c>
      <c r="V18" s="17" t="str">
        <f aca="false">IF(19&lt;=DAY(EOMONTH(DATE($E$2,$C$2,1),0)),IF(SUMPRODUCT((DAY(Registres!C$2:C$500)=19)*(MONTH(Registres!C$2:C$500)=$C$2)*(YEAR(Registres!C$2:C$500)=$E$2)*(TEXT(Registres!F$2:F$500,"0")=TEXT($A18,"0")))&gt;0,"✓",""),"")</f>
        <v/>
      </c>
      <c r="W18" s="17" t="str">
        <f aca="false">IF(20&lt;=DAY(EOMONTH(DATE($E$2,$C$2,1),0)),IF(SUMPRODUCT((DAY(Registres!C$2:C$500)=20)*(MONTH(Registres!C$2:C$500)=$C$2)*(YEAR(Registres!C$2:C$500)=$E$2)*(TEXT(Registres!F$2:F$500,"0")=TEXT($A18,"0")))&gt;0,"✓",""),"")</f>
        <v/>
      </c>
      <c r="X18" s="17" t="str">
        <f aca="false">IF(21&lt;=DAY(EOMONTH(DATE($E$2,$C$2,1),0)),IF(SUMPRODUCT((DAY(Registres!C$2:C$500)=21)*(MONTH(Registres!C$2:C$500)=$C$2)*(YEAR(Registres!C$2:C$500)=$E$2)*(TEXT(Registres!F$2:F$500,"0")=TEXT($A18,"0")))&gt;0,"✓",""),"")</f>
        <v/>
      </c>
      <c r="Y18" s="17" t="str">
        <f aca="false">IF(22&lt;=DAY(EOMONTH(DATE($E$2,$C$2,1),0)),IF(SUMPRODUCT((DAY(Registres!C$2:C$500)=22)*(MONTH(Registres!C$2:C$500)=$C$2)*(YEAR(Registres!C$2:C$500)=$E$2)*(TEXT(Registres!F$2:F$500,"0")=TEXT($A18,"0")))&gt;0,"✓",""),"")</f>
        <v/>
      </c>
      <c r="Z18" s="17" t="str">
        <f aca="false">IF(23&lt;=DAY(EOMONTH(DATE($E$2,$C$2,1),0)),IF(SUMPRODUCT((DAY(Registres!C$2:C$500)=23)*(MONTH(Registres!C$2:C$500)=$C$2)*(YEAR(Registres!C$2:C$500)=$E$2)*(TEXT(Registres!F$2:F$500,"0")=TEXT($A18,"0")))&gt;0,"✓",""),"")</f>
        <v/>
      </c>
      <c r="AA18" s="17" t="str">
        <f aca="false">IF(24&lt;=DAY(EOMONTH(DATE($E$2,$C$2,1),0)),IF(SUMPRODUCT((DAY(Registres!C$2:C$500)=24)*(MONTH(Registres!C$2:C$500)=$C$2)*(YEAR(Registres!C$2:C$500)=$E$2)*(TEXT(Registres!F$2:F$500,"0")=TEXT($A18,"0")))&gt;0,"✓",""),"")</f>
        <v/>
      </c>
      <c r="AB18" s="17" t="str">
        <f aca="false">IF(25&lt;=DAY(EOMONTH(DATE($E$2,$C$2,1),0)),IF(SUMPRODUCT((DAY(Registres!C$2:C$500)=25)*(MONTH(Registres!C$2:C$500)=$C$2)*(YEAR(Registres!C$2:C$500)=$E$2)*(TEXT(Registres!F$2:F$500,"0")=TEXT($A18,"0")))&gt;0,"✓",""),"")</f>
        <v/>
      </c>
      <c r="AC18" s="17" t="str">
        <f aca="false">IF(26&lt;=DAY(EOMONTH(DATE($E$2,$C$2,1),0)),IF(SUMPRODUCT((DAY(Registres!C$2:C$500)=26)*(MONTH(Registres!C$2:C$500)=$C$2)*(YEAR(Registres!C$2:C$500)=$E$2)*(TEXT(Registres!F$2:F$500,"0")=TEXT($A18,"0")))&gt;0,"✓",""),"")</f>
        <v/>
      </c>
      <c r="AD18" s="17" t="str">
        <f aca="false">IF(27&lt;=DAY(EOMONTH(DATE($E$2,$C$2,1),0)),IF(SUMPRODUCT((DAY(Registres!C$2:C$500)=27)*(MONTH(Registres!C$2:C$500)=$C$2)*(YEAR(Registres!C$2:C$500)=$E$2)*(TEXT(Registres!F$2:F$500,"0")=TEXT($A18,"0")))&gt;0,"✓",""),"")</f>
        <v/>
      </c>
      <c r="AE18" s="17" t="str">
        <f aca="false">IF(28&lt;=DAY(EOMONTH(DATE($E$2,$C$2,1),0)),IF(SUMPRODUCT((DAY(Registres!C$2:C$500)=28)*(MONTH(Registres!C$2:C$500)=$C$2)*(YEAR(Registres!C$2:C$500)=$E$2)*(TEXT(Registres!F$2:F$500,"0")=TEXT($A18,"0")))&gt;0,"✓",""),"")</f>
        <v/>
      </c>
      <c r="AF18" s="17" t="str">
        <f aca="false">IF(29&lt;=DAY(EOMONTH(DATE($E$2,$C$2,1),0)),IF(SUMPRODUCT((DAY(Registres!C$2:C$500)=29)*(MONTH(Registres!C$2:C$500)=$C$2)*(YEAR(Registres!C$2:C$500)=$E$2)*(TEXT(Registres!F$2:F$500,"0")=TEXT($A18,"0")))&gt;0,"✓",""),"")</f>
        <v/>
      </c>
      <c r="AG18" s="17" t="str">
        <f aca="false">IF(30&lt;=DAY(EOMONTH(DATE($E$2,$C$2,1),0)),IF(SUMPRODUCT((DAY(Registres!C$2:C$500)=30)*(MONTH(Registres!C$2:C$500)=$C$2)*(YEAR(Registres!C$2:C$500)=$E$2)*(TEXT(Registres!F$2:F$500,"0")=TEXT($A18,"0")))&gt;0,"✓",""),"")</f>
        <v/>
      </c>
      <c r="AH18" s="17" t="str">
        <f aca="false">IF(31&lt;=DAY(EOMONTH(DATE($E$2,$C$2,1),0)),IF(SUMPRODUCT((DAY(Registres!C$2:C$500)=31)*(MONTH(Registres!C$2:C$500)=$C$2)*(YEAR(Registres!C$2:C$500)=$E$2)*(TEXT(Registres!F$2:F$500,"0")=TEXT($A18,"0")))&gt;0,"✓",""),"")</f>
        <v/>
      </c>
      <c r="AI18" s="18" t="n">
        <f aca="false">COUNTIF(D18:AH18,"✓")</f>
        <v>0</v>
      </c>
    </row>
    <row r="19" customFormat="false" ht="15" hidden="false" customHeight="false" outlineLevel="0" collapsed="false">
      <c r="A19" s="14" t="n">
        <v>15</v>
      </c>
      <c r="B19" s="15" t="s">
        <v>127</v>
      </c>
      <c r="C19" s="16" t="s">
        <v>128</v>
      </c>
      <c r="D19" s="17" t="str">
        <f aca="false">IF(1&lt;=DAY(EOMONTH(DATE($E$2,$C$2,1),0)),IF(SUMPRODUCT((DAY(Registres!C$2:C$500)=1)*(MONTH(Registres!C$2:C$500)=$C$2)*(YEAR(Registres!C$2:C$500)=$E$2)*(TEXT(Registres!F$2:F$500,"0")=TEXT($A19,"0")))&gt;0,"✓",""),"")</f>
        <v/>
      </c>
      <c r="E19" s="17" t="str">
        <f aca="false">IF(2&lt;=DAY(EOMONTH(DATE($E$2,$C$2,1),0)),IF(SUMPRODUCT((DAY(Registres!C$2:C$500)=2)*(MONTH(Registres!C$2:C$500)=$C$2)*(YEAR(Registres!C$2:C$500)=$E$2)*(TEXT(Registres!F$2:F$500,"0")=TEXT($A19,"0")))&gt;0,"✓",""),"")</f>
        <v/>
      </c>
      <c r="F19" s="17" t="str">
        <f aca="false">IF(3&lt;=DAY(EOMONTH(DATE($E$2,$C$2,1),0)),IF(SUMPRODUCT((DAY(Registres!C$2:C$500)=3)*(MONTH(Registres!C$2:C$500)=$C$2)*(YEAR(Registres!C$2:C$500)=$E$2)*(TEXT(Registres!F$2:F$500,"0")=TEXT($A19,"0")))&gt;0,"✓",""),"")</f>
        <v/>
      </c>
      <c r="G19" s="17" t="str">
        <f aca="false">IF(4&lt;=DAY(EOMONTH(DATE($E$2,$C$2,1),0)),IF(SUMPRODUCT((DAY(Registres!C$2:C$500)=4)*(MONTH(Registres!C$2:C$500)=$C$2)*(YEAR(Registres!C$2:C$500)=$E$2)*(TEXT(Registres!F$2:F$500,"0")=TEXT($A19,"0")))&gt;0,"✓",""),"")</f>
        <v/>
      </c>
      <c r="H19" s="17" t="str">
        <f aca="false">IF(5&lt;=DAY(EOMONTH(DATE($E$2,$C$2,1),0)),IF(SUMPRODUCT((DAY(Registres!C$2:C$500)=5)*(MONTH(Registres!C$2:C$500)=$C$2)*(YEAR(Registres!C$2:C$500)=$E$2)*(TEXT(Registres!F$2:F$500,"0")=TEXT($A19,"0")))&gt;0,"✓",""),"")</f>
        <v/>
      </c>
      <c r="I19" s="17" t="str">
        <f aca="false">IF(6&lt;=DAY(EOMONTH(DATE($E$2,$C$2,1),0)),IF(SUMPRODUCT((DAY(Registres!C$2:C$500)=6)*(MONTH(Registres!C$2:C$500)=$C$2)*(YEAR(Registres!C$2:C$500)=$E$2)*(TEXT(Registres!F$2:F$500,"0")=TEXT($A19,"0")))&gt;0,"✓",""),"")</f>
        <v/>
      </c>
      <c r="J19" s="17" t="str">
        <f aca="false">IF(7&lt;=DAY(EOMONTH(DATE($E$2,$C$2,1),0)),IF(SUMPRODUCT((DAY(Registres!C$2:C$500)=7)*(MONTH(Registres!C$2:C$500)=$C$2)*(YEAR(Registres!C$2:C$500)=$E$2)*(TEXT(Registres!F$2:F$500,"0")=TEXT($A19,"0")))&gt;0,"✓",""),"")</f>
        <v/>
      </c>
      <c r="K19" s="17" t="str">
        <f aca="false">IF(8&lt;=DAY(EOMONTH(DATE($E$2,$C$2,1),0)),IF(SUMPRODUCT((DAY(Registres!C$2:C$500)=8)*(MONTH(Registres!C$2:C$500)=$C$2)*(YEAR(Registres!C$2:C$500)=$E$2)*(TEXT(Registres!F$2:F$500,"0")=TEXT($A19,"0")))&gt;0,"✓",""),"")</f>
        <v/>
      </c>
      <c r="L19" s="17" t="str">
        <f aca="false">IF(9&lt;=DAY(EOMONTH(DATE($E$2,$C$2,1),0)),IF(SUMPRODUCT((DAY(Registres!C$2:C$500)=9)*(MONTH(Registres!C$2:C$500)=$C$2)*(YEAR(Registres!C$2:C$500)=$E$2)*(TEXT(Registres!F$2:F$500,"0")=TEXT($A19,"0")))&gt;0,"✓",""),"")</f>
        <v/>
      </c>
      <c r="M19" s="17" t="str">
        <f aca="false">IF(10&lt;=DAY(EOMONTH(DATE($E$2,$C$2,1),0)),IF(SUMPRODUCT((DAY(Registres!C$2:C$500)=10)*(MONTH(Registres!C$2:C$500)=$C$2)*(YEAR(Registres!C$2:C$500)=$E$2)*(TEXT(Registres!F$2:F$500,"0")=TEXT($A19,"0")))&gt;0,"✓",""),"")</f>
        <v/>
      </c>
      <c r="N19" s="17" t="str">
        <f aca="false">IF(11&lt;=DAY(EOMONTH(DATE($E$2,$C$2,1),0)),IF(SUMPRODUCT((DAY(Registres!C$2:C$500)=11)*(MONTH(Registres!C$2:C$500)=$C$2)*(YEAR(Registres!C$2:C$500)=$E$2)*(TEXT(Registres!F$2:F$500,"0")=TEXT($A19,"0")))&gt;0,"✓",""),"")</f>
        <v/>
      </c>
      <c r="O19" s="17" t="str">
        <f aca="false">IF(12&lt;=DAY(EOMONTH(DATE($E$2,$C$2,1),0)),IF(SUMPRODUCT((DAY(Registres!C$2:C$500)=12)*(MONTH(Registres!C$2:C$500)=$C$2)*(YEAR(Registres!C$2:C$500)=$E$2)*(TEXT(Registres!F$2:F$500,"0")=TEXT($A19,"0")))&gt;0,"✓",""),"")</f>
        <v/>
      </c>
      <c r="P19" s="17" t="str">
        <f aca="false">IF(13&lt;=DAY(EOMONTH(DATE($E$2,$C$2,1),0)),IF(SUMPRODUCT((DAY(Registres!C$2:C$500)=13)*(MONTH(Registres!C$2:C$500)=$C$2)*(YEAR(Registres!C$2:C$500)=$E$2)*(TEXT(Registres!F$2:F$500,"0")=TEXT($A19,"0")))&gt;0,"✓",""),"")</f>
        <v/>
      </c>
      <c r="Q19" s="17" t="str">
        <f aca="false">IF(14&lt;=DAY(EOMONTH(DATE($E$2,$C$2,1),0)),IF(SUMPRODUCT((DAY(Registres!C$2:C$500)=14)*(MONTH(Registres!C$2:C$500)=$C$2)*(YEAR(Registres!C$2:C$500)=$E$2)*(TEXT(Registres!F$2:F$500,"0")=TEXT($A19,"0")))&gt;0,"✓",""),"")</f>
        <v/>
      </c>
      <c r="R19" s="17" t="str">
        <f aca="false">IF(15&lt;=DAY(EOMONTH(DATE($E$2,$C$2,1),0)),IF(SUMPRODUCT((DAY(Registres!C$2:C$500)=15)*(MONTH(Registres!C$2:C$500)=$C$2)*(YEAR(Registres!C$2:C$500)=$E$2)*(TEXT(Registres!F$2:F$500,"0")=TEXT($A19,"0")))&gt;0,"✓",""),"")</f>
        <v/>
      </c>
      <c r="S19" s="17" t="str">
        <f aca="false">IF(16&lt;=DAY(EOMONTH(DATE($E$2,$C$2,1),0)),IF(SUMPRODUCT((DAY(Registres!C$2:C$500)=16)*(MONTH(Registres!C$2:C$500)=$C$2)*(YEAR(Registres!C$2:C$500)=$E$2)*(TEXT(Registres!F$2:F$500,"0")=TEXT($A19,"0")))&gt;0,"✓",""),"")</f>
        <v/>
      </c>
      <c r="T19" s="17" t="str">
        <f aca="false">IF(17&lt;=DAY(EOMONTH(DATE($E$2,$C$2,1),0)),IF(SUMPRODUCT((DAY(Registres!C$2:C$500)=17)*(MONTH(Registres!C$2:C$500)=$C$2)*(YEAR(Registres!C$2:C$500)=$E$2)*(TEXT(Registres!F$2:F$500,"0")=TEXT($A19,"0")))&gt;0,"✓",""),"")</f>
        <v/>
      </c>
      <c r="U19" s="17" t="str">
        <f aca="false">IF(18&lt;=DAY(EOMONTH(DATE($E$2,$C$2,1),0)),IF(SUMPRODUCT((DAY(Registres!C$2:C$500)=18)*(MONTH(Registres!C$2:C$500)=$C$2)*(YEAR(Registres!C$2:C$500)=$E$2)*(TEXT(Registres!F$2:F$500,"0")=TEXT($A19,"0")))&gt;0,"✓",""),"")</f>
        <v/>
      </c>
      <c r="V19" s="17" t="str">
        <f aca="false">IF(19&lt;=DAY(EOMONTH(DATE($E$2,$C$2,1),0)),IF(SUMPRODUCT((DAY(Registres!C$2:C$500)=19)*(MONTH(Registres!C$2:C$500)=$C$2)*(YEAR(Registres!C$2:C$500)=$E$2)*(TEXT(Registres!F$2:F$500,"0")=TEXT($A19,"0")))&gt;0,"✓",""),"")</f>
        <v/>
      </c>
      <c r="W19" s="17" t="str">
        <f aca="false">IF(20&lt;=DAY(EOMONTH(DATE($E$2,$C$2,1),0)),IF(SUMPRODUCT((DAY(Registres!C$2:C$500)=20)*(MONTH(Registres!C$2:C$500)=$C$2)*(YEAR(Registres!C$2:C$500)=$E$2)*(TEXT(Registres!F$2:F$500,"0")=TEXT($A19,"0")))&gt;0,"✓",""),"")</f>
        <v/>
      </c>
      <c r="X19" s="17" t="str">
        <f aca="false">IF(21&lt;=DAY(EOMONTH(DATE($E$2,$C$2,1),0)),IF(SUMPRODUCT((DAY(Registres!C$2:C$500)=21)*(MONTH(Registres!C$2:C$500)=$C$2)*(YEAR(Registres!C$2:C$500)=$E$2)*(TEXT(Registres!F$2:F$500,"0")=TEXT($A19,"0")))&gt;0,"✓",""),"")</f>
        <v/>
      </c>
      <c r="Y19" s="17" t="str">
        <f aca="false">IF(22&lt;=DAY(EOMONTH(DATE($E$2,$C$2,1),0)),IF(SUMPRODUCT((DAY(Registres!C$2:C$500)=22)*(MONTH(Registres!C$2:C$500)=$C$2)*(YEAR(Registres!C$2:C$500)=$E$2)*(TEXT(Registres!F$2:F$500,"0")=TEXT($A19,"0")))&gt;0,"✓",""),"")</f>
        <v/>
      </c>
      <c r="Z19" s="17" t="str">
        <f aca="false">IF(23&lt;=DAY(EOMONTH(DATE($E$2,$C$2,1),0)),IF(SUMPRODUCT((DAY(Registres!C$2:C$500)=23)*(MONTH(Registres!C$2:C$500)=$C$2)*(YEAR(Registres!C$2:C$500)=$E$2)*(TEXT(Registres!F$2:F$500,"0")=TEXT($A19,"0")))&gt;0,"✓",""),"")</f>
        <v/>
      </c>
      <c r="AA19" s="17" t="str">
        <f aca="false">IF(24&lt;=DAY(EOMONTH(DATE($E$2,$C$2,1),0)),IF(SUMPRODUCT((DAY(Registres!C$2:C$500)=24)*(MONTH(Registres!C$2:C$500)=$C$2)*(YEAR(Registres!C$2:C$500)=$E$2)*(TEXT(Registres!F$2:F$500,"0")=TEXT($A19,"0")))&gt;0,"✓",""),"")</f>
        <v/>
      </c>
      <c r="AB19" s="17" t="str">
        <f aca="false">IF(25&lt;=DAY(EOMONTH(DATE($E$2,$C$2,1),0)),IF(SUMPRODUCT((DAY(Registres!C$2:C$500)=25)*(MONTH(Registres!C$2:C$500)=$C$2)*(YEAR(Registres!C$2:C$500)=$E$2)*(TEXT(Registres!F$2:F$500,"0")=TEXT($A19,"0")))&gt;0,"✓",""),"")</f>
        <v/>
      </c>
      <c r="AC19" s="17" t="str">
        <f aca="false">IF(26&lt;=DAY(EOMONTH(DATE($E$2,$C$2,1),0)),IF(SUMPRODUCT((DAY(Registres!C$2:C$500)=26)*(MONTH(Registres!C$2:C$500)=$C$2)*(YEAR(Registres!C$2:C$500)=$E$2)*(TEXT(Registres!F$2:F$500,"0")=TEXT($A19,"0")))&gt;0,"✓",""),"")</f>
        <v/>
      </c>
      <c r="AD19" s="17" t="str">
        <f aca="false">IF(27&lt;=DAY(EOMONTH(DATE($E$2,$C$2,1),0)),IF(SUMPRODUCT((DAY(Registres!C$2:C$500)=27)*(MONTH(Registres!C$2:C$500)=$C$2)*(YEAR(Registres!C$2:C$500)=$E$2)*(TEXT(Registres!F$2:F$500,"0")=TEXT($A19,"0")))&gt;0,"✓",""),"")</f>
        <v/>
      </c>
      <c r="AE19" s="17" t="str">
        <f aca="false">IF(28&lt;=DAY(EOMONTH(DATE($E$2,$C$2,1),0)),IF(SUMPRODUCT((DAY(Registres!C$2:C$500)=28)*(MONTH(Registres!C$2:C$500)=$C$2)*(YEAR(Registres!C$2:C$500)=$E$2)*(TEXT(Registres!F$2:F$500,"0")=TEXT($A19,"0")))&gt;0,"✓",""),"")</f>
        <v/>
      </c>
      <c r="AF19" s="17" t="str">
        <f aca="false">IF(29&lt;=DAY(EOMONTH(DATE($E$2,$C$2,1),0)),IF(SUMPRODUCT((DAY(Registres!C$2:C$500)=29)*(MONTH(Registres!C$2:C$500)=$C$2)*(YEAR(Registres!C$2:C$500)=$E$2)*(TEXT(Registres!F$2:F$500,"0")=TEXT($A19,"0")))&gt;0,"✓",""),"")</f>
        <v/>
      </c>
      <c r="AG19" s="17" t="str">
        <f aca="false">IF(30&lt;=DAY(EOMONTH(DATE($E$2,$C$2,1),0)),IF(SUMPRODUCT((DAY(Registres!C$2:C$500)=30)*(MONTH(Registres!C$2:C$500)=$C$2)*(YEAR(Registres!C$2:C$500)=$E$2)*(TEXT(Registres!F$2:F$500,"0")=TEXT($A19,"0")))&gt;0,"✓",""),"")</f>
        <v/>
      </c>
      <c r="AH19" s="17" t="str">
        <f aca="false">IF(31&lt;=DAY(EOMONTH(DATE($E$2,$C$2,1),0)),IF(SUMPRODUCT((DAY(Registres!C$2:C$500)=31)*(MONTH(Registres!C$2:C$500)=$C$2)*(YEAR(Registres!C$2:C$500)=$E$2)*(TEXT(Registres!F$2:F$500,"0")=TEXT($A19,"0")))&gt;0,"✓",""),"")</f>
        <v/>
      </c>
      <c r="AI19" s="18" t="n">
        <f aca="false">COUNTIF(D19:AH19,"✓")</f>
        <v>0</v>
      </c>
    </row>
    <row r="20" customFormat="false" ht="15" hidden="false" customHeight="false" outlineLevel="0" collapsed="false">
      <c r="A20" s="19" t="n">
        <v>16</v>
      </c>
      <c r="B20" s="20" t="s">
        <v>129</v>
      </c>
      <c r="C20" s="21" t="s">
        <v>128</v>
      </c>
      <c r="D20" s="17" t="str">
        <f aca="false">IF(1&lt;=DAY(EOMONTH(DATE($E$2,$C$2,1),0)),IF(SUMPRODUCT((DAY(Registres!C$2:C$500)=1)*(MONTH(Registres!C$2:C$500)=$C$2)*(YEAR(Registres!C$2:C$500)=$E$2)*(TEXT(Registres!F$2:F$500,"0")=TEXT($A20,"0")))&gt;0,"✓",""),"")</f>
        <v/>
      </c>
      <c r="E20" s="17" t="str">
        <f aca="false">IF(2&lt;=DAY(EOMONTH(DATE($E$2,$C$2,1),0)),IF(SUMPRODUCT((DAY(Registres!C$2:C$500)=2)*(MONTH(Registres!C$2:C$500)=$C$2)*(YEAR(Registres!C$2:C$500)=$E$2)*(TEXT(Registres!F$2:F$500,"0")=TEXT($A20,"0")))&gt;0,"✓",""),"")</f>
        <v/>
      </c>
      <c r="F20" s="17" t="str">
        <f aca="false">IF(3&lt;=DAY(EOMONTH(DATE($E$2,$C$2,1),0)),IF(SUMPRODUCT((DAY(Registres!C$2:C$500)=3)*(MONTH(Registres!C$2:C$500)=$C$2)*(YEAR(Registres!C$2:C$500)=$E$2)*(TEXT(Registres!F$2:F$500,"0")=TEXT($A20,"0")))&gt;0,"✓",""),"")</f>
        <v/>
      </c>
      <c r="G20" s="17" t="str">
        <f aca="false">IF(4&lt;=DAY(EOMONTH(DATE($E$2,$C$2,1),0)),IF(SUMPRODUCT((DAY(Registres!C$2:C$500)=4)*(MONTH(Registres!C$2:C$500)=$C$2)*(YEAR(Registres!C$2:C$500)=$E$2)*(TEXT(Registres!F$2:F$500,"0")=TEXT($A20,"0")))&gt;0,"✓",""),"")</f>
        <v/>
      </c>
      <c r="H20" s="17" t="str">
        <f aca="false">IF(5&lt;=DAY(EOMONTH(DATE($E$2,$C$2,1),0)),IF(SUMPRODUCT((DAY(Registres!C$2:C$500)=5)*(MONTH(Registres!C$2:C$500)=$C$2)*(YEAR(Registres!C$2:C$500)=$E$2)*(TEXT(Registres!F$2:F$500,"0")=TEXT($A20,"0")))&gt;0,"✓",""),"")</f>
        <v/>
      </c>
      <c r="I20" s="17" t="str">
        <f aca="false">IF(6&lt;=DAY(EOMONTH(DATE($E$2,$C$2,1),0)),IF(SUMPRODUCT((DAY(Registres!C$2:C$500)=6)*(MONTH(Registres!C$2:C$500)=$C$2)*(YEAR(Registres!C$2:C$500)=$E$2)*(TEXT(Registres!F$2:F$500,"0")=TEXT($A20,"0")))&gt;0,"✓",""),"")</f>
        <v/>
      </c>
      <c r="J20" s="17" t="str">
        <f aca="false">IF(7&lt;=DAY(EOMONTH(DATE($E$2,$C$2,1),0)),IF(SUMPRODUCT((DAY(Registres!C$2:C$500)=7)*(MONTH(Registres!C$2:C$500)=$C$2)*(YEAR(Registres!C$2:C$500)=$E$2)*(TEXT(Registres!F$2:F$500,"0")=TEXT($A20,"0")))&gt;0,"✓",""),"")</f>
        <v/>
      </c>
      <c r="K20" s="17" t="str">
        <f aca="false">IF(8&lt;=DAY(EOMONTH(DATE($E$2,$C$2,1),0)),IF(SUMPRODUCT((DAY(Registres!C$2:C$500)=8)*(MONTH(Registres!C$2:C$500)=$C$2)*(YEAR(Registres!C$2:C$500)=$E$2)*(TEXT(Registres!F$2:F$500,"0")=TEXT($A20,"0")))&gt;0,"✓",""),"")</f>
        <v/>
      </c>
      <c r="L20" s="17" t="str">
        <f aca="false">IF(9&lt;=DAY(EOMONTH(DATE($E$2,$C$2,1),0)),IF(SUMPRODUCT((DAY(Registres!C$2:C$500)=9)*(MONTH(Registres!C$2:C$500)=$C$2)*(YEAR(Registres!C$2:C$500)=$E$2)*(TEXT(Registres!F$2:F$500,"0")=TEXT($A20,"0")))&gt;0,"✓",""),"")</f>
        <v/>
      </c>
      <c r="M20" s="17" t="str">
        <f aca="false">IF(10&lt;=DAY(EOMONTH(DATE($E$2,$C$2,1),0)),IF(SUMPRODUCT((DAY(Registres!C$2:C$500)=10)*(MONTH(Registres!C$2:C$500)=$C$2)*(YEAR(Registres!C$2:C$500)=$E$2)*(TEXT(Registres!F$2:F$500,"0")=TEXT($A20,"0")))&gt;0,"✓",""),"")</f>
        <v/>
      </c>
      <c r="N20" s="17" t="str">
        <f aca="false">IF(11&lt;=DAY(EOMONTH(DATE($E$2,$C$2,1),0)),IF(SUMPRODUCT((DAY(Registres!C$2:C$500)=11)*(MONTH(Registres!C$2:C$500)=$C$2)*(YEAR(Registres!C$2:C$500)=$E$2)*(TEXT(Registres!F$2:F$500,"0")=TEXT($A20,"0")))&gt;0,"✓",""),"")</f>
        <v/>
      </c>
      <c r="O20" s="17" t="str">
        <f aca="false">IF(12&lt;=DAY(EOMONTH(DATE($E$2,$C$2,1),0)),IF(SUMPRODUCT((DAY(Registres!C$2:C$500)=12)*(MONTH(Registres!C$2:C$500)=$C$2)*(YEAR(Registres!C$2:C$500)=$E$2)*(TEXT(Registres!F$2:F$500,"0")=TEXT($A20,"0")))&gt;0,"✓",""),"")</f>
        <v/>
      </c>
      <c r="P20" s="17" t="str">
        <f aca="false">IF(13&lt;=DAY(EOMONTH(DATE($E$2,$C$2,1),0)),IF(SUMPRODUCT((DAY(Registres!C$2:C$500)=13)*(MONTH(Registres!C$2:C$500)=$C$2)*(YEAR(Registres!C$2:C$500)=$E$2)*(TEXT(Registres!F$2:F$500,"0")=TEXT($A20,"0")))&gt;0,"✓",""),"")</f>
        <v/>
      </c>
      <c r="Q20" s="17" t="str">
        <f aca="false">IF(14&lt;=DAY(EOMONTH(DATE($E$2,$C$2,1),0)),IF(SUMPRODUCT((DAY(Registres!C$2:C$500)=14)*(MONTH(Registres!C$2:C$500)=$C$2)*(YEAR(Registres!C$2:C$500)=$E$2)*(TEXT(Registres!F$2:F$500,"0")=TEXT($A20,"0")))&gt;0,"✓",""),"")</f>
        <v/>
      </c>
      <c r="R20" s="17" t="str">
        <f aca="false">IF(15&lt;=DAY(EOMONTH(DATE($E$2,$C$2,1),0)),IF(SUMPRODUCT((DAY(Registres!C$2:C$500)=15)*(MONTH(Registres!C$2:C$500)=$C$2)*(YEAR(Registres!C$2:C$500)=$E$2)*(TEXT(Registres!F$2:F$500,"0")=TEXT($A20,"0")))&gt;0,"✓",""),"")</f>
        <v/>
      </c>
      <c r="S20" s="17" t="str">
        <f aca="false">IF(16&lt;=DAY(EOMONTH(DATE($E$2,$C$2,1),0)),IF(SUMPRODUCT((DAY(Registres!C$2:C$500)=16)*(MONTH(Registres!C$2:C$500)=$C$2)*(YEAR(Registres!C$2:C$500)=$E$2)*(TEXT(Registres!F$2:F$500,"0")=TEXT($A20,"0")))&gt;0,"✓",""),"")</f>
        <v/>
      </c>
      <c r="T20" s="17" t="str">
        <f aca="false">IF(17&lt;=DAY(EOMONTH(DATE($E$2,$C$2,1),0)),IF(SUMPRODUCT((DAY(Registres!C$2:C$500)=17)*(MONTH(Registres!C$2:C$500)=$C$2)*(YEAR(Registres!C$2:C$500)=$E$2)*(TEXT(Registres!F$2:F$500,"0")=TEXT($A20,"0")))&gt;0,"✓",""),"")</f>
        <v/>
      </c>
      <c r="U20" s="17" t="str">
        <f aca="false">IF(18&lt;=DAY(EOMONTH(DATE($E$2,$C$2,1),0)),IF(SUMPRODUCT((DAY(Registres!C$2:C$500)=18)*(MONTH(Registres!C$2:C$500)=$C$2)*(YEAR(Registres!C$2:C$500)=$E$2)*(TEXT(Registres!F$2:F$500,"0")=TEXT($A20,"0")))&gt;0,"✓",""),"")</f>
        <v/>
      </c>
      <c r="V20" s="17" t="str">
        <f aca="false">IF(19&lt;=DAY(EOMONTH(DATE($E$2,$C$2,1),0)),IF(SUMPRODUCT((DAY(Registres!C$2:C$500)=19)*(MONTH(Registres!C$2:C$500)=$C$2)*(YEAR(Registres!C$2:C$500)=$E$2)*(TEXT(Registres!F$2:F$500,"0")=TEXT($A20,"0")))&gt;0,"✓",""),"")</f>
        <v/>
      </c>
      <c r="W20" s="17" t="str">
        <f aca="false">IF(20&lt;=DAY(EOMONTH(DATE($E$2,$C$2,1),0)),IF(SUMPRODUCT((DAY(Registres!C$2:C$500)=20)*(MONTH(Registres!C$2:C$500)=$C$2)*(YEAR(Registres!C$2:C$500)=$E$2)*(TEXT(Registres!F$2:F$500,"0")=TEXT($A20,"0")))&gt;0,"✓",""),"")</f>
        <v/>
      </c>
      <c r="X20" s="17" t="str">
        <f aca="false">IF(21&lt;=DAY(EOMONTH(DATE($E$2,$C$2,1),0)),IF(SUMPRODUCT((DAY(Registres!C$2:C$500)=21)*(MONTH(Registres!C$2:C$500)=$C$2)*(YEAR(Registres!C$2:C$500)=$E$2)*(TEXT(Registres!F$2:F$500,"0")=TEXT($A20,"0")))&gt;0,"✓",""),"")</f>
        <v/>
      </c>
      <c r="Y20" s="17" t="str">
        <f aca="false">IF(22&lt;=DAY(EOMONTH(DATE($E$2,$C$2,1),0)),IF(SUMPRODUCT((DAY(Registres!C$2:C$500)=22)*(MONTH(Registres!C$2:C$500)=$C$2)*(YEAR(Registres!C$2:C$500)=$E$2)*(TEXT(Registres!F$2:F$500,"0")=TEXT($A20,"0")))&gt;0,"✓",""),"")</f>
        <v/>
      </c>
      <c r="Z20" s="17" t="str">
        <f aca="false">IF(23&lt;=DAY(EOMONTH(DATE($E$2,$C$2,1),0)),IF(SUMPRODUCT((DAY(Registres!C$2:C$500)=23)*(MONTH(Registres!C$2:C$500)=$C$2)*(YEAR(Registres!C$2:C$500)=$E$2)*(TEXT(Registres!F$2:F$500,"0")=TEXT($A20,"0")))&gt;0,"✓",""),"")</f>
        <v/>
      </c>
      <c r="AA20" s="17" t="str">
        <f aca="false">IF(24&lt;=DAY(EOMONTH(DATE($E$2,$C$2,1),0)),IF(SUMPRODUCT((DAY(Registres!C$2:C$500)=24)*(MONTH(Registres!C$2:C$500)=$C$2)*(YEAR(Registres!C$2:C$500)=$E$2)*(TEXT(Registres!F$2:F$500,"0")=TEXT($A20,"0")))&gt;0,"✓",""),"")</f>
        <v/>
      </c>
      <c r="AB20" s="17" t="str">
        <f aca="false">IF(25&lt;=DAY(EOMONTH(DATE($E$2,$C$2,1),0)),IF(SUMPRODUCT((DAY(Registres!C$2:C$500)=25)*(MONTH(Registres!C$2:C$500)=$C$2)*(YEAR(Registres!C$2:C$500)=$E$2)*(TEXT(Registres!F$2:F$500,"0")=TEXT($A20,"0")))&gt;0,"✓",""),"")</f>
        <v/>
      </c>
      <c r="AC20" s="17" t="str">
        <f aca="false">IF(26&lt;=DAY(EOMONTH(DATE($E$2,$C$2,1),0)),IF(SUMPRODUCT((DAY(Registres!C$2:C$500)=26)*(MONTH(Registres!C$2:C$500)=$C$2)*(YEAR(Registres!C$2:C$500)=$E$2)*(TEXT(Registres!F$2:F$500,"0")=TEXT($A20,"0")))&gt;0,"✓",""),"")</f>
        <v/>
      </c>
      <c r="AD20" s="17" t="str">
        <f aca="false">IF(27&lt;=DAY(EOMONTH(DATE($E$2,$C$2,1),0)),IF(SUMPRODUCT((DAY(Registres!C$2:C$500)=27)*(MONTH(Registres!C$2:C$500)=$C$2)*(YEAR(Registres!C$2:C$500)=$E$2)*(TEXT(Registres!F$2:F$500,"0")=TEXT($A20,"0")))&gt;0,"✓",""),"")</f>
        <v/>
      </c>
      <c r="AE20" s="17" t="str">
        <f aca="false">IF(28&lt;=DAY(EOMONTH(DATE($E$2,$C$2,1),0)),IF(SUMPRODUCT((DAY(Registres!C$2:C$500)=28)*(MONTH(Registres!C$2:C$500)=$C$2)*(YEAR(Registres!C$2:C$500)=$E$2)*(TEXT(Registres!F$2:F$500,"0")=TEXT($A20,"0")))&gt;0,"✓",""),"")</f>
        <v/>
      </c>
      <c r="AF20" s="17" t="str">
        <f aca="false">IF(29&lt;=DAY(EOMONTH(DATE($E$2,$C$2,1),0)),IF(SUMPRODUCT((DAY(Registres!C$2:C$500)=29)*(MONTH(Registres!C$2:C$500)=$C$2)*(YEAR(Registres!C$2:C$500)=$E$2)*(TEXT(Registres!F$2:F$500,"0")=TEXT($A20,"0")))&gt;0,"✓",""),"")</f>
        <v/>
      </c>
      <c r="AG20" s="17" t="str">
        <f aca="false">IF(30&lt;=DAY(EOMONTH(DATE($E$2,$C$2,1),0)),IF(SUMPRODUCT((DAY(Registres!C$2:C$500)=30)*(MONTH(Registres!C$2:C$500)=$C$2)*(YEAR(Registres!C$2:C$500)=$E$2)*(TEXT(Registres!F$2:F$500,"0")=TEXT($A20,"0")))&gt;0,"✓",""),"")</f>
        <v/>
      </c>
      <c r="AH20" s="17" t="str">
        <f aca="false">IF(31&lt;=DAY(EOMONTH(DATE($E$2,$C$2,1),0)),IF(SUMPRODUCT((DAY(Registres!C$2:C$500)=31)*(MONTH(Registres!C$2:C$500)=$C$2)*(YEAR(Registres!C$2:C$500)=$E$2)*(TEXT(Registres!F$2:F$500,"0")=TEXT($A20,"0")))&gt;0,"✓",""),"")</f>
        <v/>
      </c>
      <c r="AI20" s="18" t="n">
        <f aca="false">COUNTIF(D20:AH20,"✓")</f>
        <v>0</v>
      </c>
    </row>
    <row r="21" customFormat="false" ht="15" hidden="false" customHeight="false" outlineLevel="0" collapsed="false">
      <c r="A21" s="14" t="n">
        <v>17</v>
      </c>
      <c r="B21" s="15" t="s">
        <v>130</v>
      </c>
      <c r="C21" s="16" t="s">
        <v>128</v>
      </c>
      <c r="D21" s="17" t="str">
        <f aca="false">IF(1&lt;=DAY(EOMONTH(DATE($E$2,$C$2,1),0)),IF(SUMPRODUCT((DAY(Registres!C$2:C$500)=1)*(MONTH(Registres!C$2:C$500)=$C$2)*(YEAR(Registres!C$2:C$500)=$E$2)*(TEXT(Registres!F$2:F$500,"0")=TEXT($A21,"0")))&gt;0,"✓",""),"")</f>
        <v/>
      </c>
      <c r="E21" s="17" t="str">
        <f aca="false">IF(2&lt;=DAY(EOMONTH(DATE($E$2,$C$2,1),0)),IF(SUMPRODUCT((DAY(Registres!C$2:C$500)=2)*(MONTH(Registres!C$2:C$500)=$C$2)*(YEAR(Registres!C$2:C$500)=$E$2)*(TEXT(Registres!F$2:F$500,"0")=TEXT($A21,"0")))&gt;0,"✓",""),"")</f>
        <v/>
      </c>
      <c r="F21" s="17" t="str">
        <f aca="false">IF(3&lt;=DAY(EOMONTH(DATE($E$2,$C$2,1),0)),IF(SUMPRODUCT((DAY(Registres!C$2:C$500)=3)*(MONTH(Registres!C$2:C$500)=$C$2)*(YEAR(Registres!C$2:C$500)=$E$2)*(TEXT(Registres!F$2:F$500,"0")=TEXT($A21,"0")))&gt;0,"✓",""),"")</f>
        <v/>
      </c>
      <c r="G21" s="17" t="str">
        <f aca="false">IF(4&lt;=DAY(EOMONTH(DATE($E$2,$C$2,1),0)),IF(SUMPRODUCT((DAY(Registres!C$2:C$500)=4)*(MONTH(Registres!C$2:C$500)=$C$2)*(YEAR(Registres!C$2:C$500)=$E$2)*(TEXT(Registres!F$2:F$500,"0")=TEXT($A21,"0")))&gt;0,"✓",""),"")</f>
        <v/>
      </c>
      <c r="H21" s="17" t="str">
        <f aca="false">IF(5&lt;=DAY(EOMONTH(DATE($E$2,$C$2,1),0)),IF(SUMPRODUCT((DAY(Registres!C$2:C$500)=5)*(MONTH(Registres!C$2:C$500)=$C$2)*(YEAR(Registres!C$2:C$500)=$E$2)*(TEXT(Registres!F$2:F$500,"0")=TEXT($A21,"0")))&gt;0,"✓",""),"")</f>
        <v/>
      </c>
      <c r="I21" s="17" t="str">
        <f aca="false">IF(6&lt;=DAY(EOMONTH(DATE($E$2,$C$2,1),0)),IF(SUMPRODUCT((DAY(Registres!C$2:C$500)=6)*(MONTH(Registres!C$2:C$500)=$C$2)*(YEAR(Registres!C$2:C$500)=$E$2)*(TEXT(Registres!F$2:F$500,"0")=TEXT($A21,"0")))&gt;0,"✓",""),"")</f>
        <v/>
      </c>
      <c r="J21" s="17" t="str">
        <f aca="false">IF(7&lt;=DAY(EOMONTH(DATE($E$2,$C$2,1),0)),IF(SUMPRODUCT((DAY(Registres!C$2:C$500)=7)*(MONTH(Registres!C$2:C$500)=$C$2)*(YEAR(Registres!C$2:C$500)=$E$2)*(TEXT(Registres!F$2:F$500,"0")=TEXT($A21,"0")))&gt;0,"✓",""),"")</f>
        <v/>
      </c>
      <c r="K21" s="17" t="str">
        <f aca="false">IF(8&lt;=DAY(EOMONTH(DATE($E$2,$C$2,1),0)),IF(SUMPRODUCT((DAY(Registres!C$2:C$500)=8)*(MONTH(Registres!C$2:C$500)=$C$2)*(YEAR(Registres!C$2:C$500)=$E$2)*(TEXT(Registres!F$2:F$500,"0")=TEXT($A21,"0")))&gt;0,"✓",""),"")</f>
        <v/>
      </c>
      <c r="L21" s="17" t="str">
        <f aca="false">IF(9&lt;=DAY(EOMONTH(DATE($E$2,$C$2,1),0)),IF(SUMPRODUCT((DAY(Registres!C$2:C$500)=9)*(MONTH(Registres!C$2:C$500)=$C$2)*(YEAR(Registres!C$2:C$500)=$E$2)*(TEXT(Registres!F$2:F$500,"0")=TEXT($A21,"0")))&gt;0,"✓",""),"")</f>
        <v/>
      </c>
      <c r="M21" s="17" t="str">
        <f aca="false">IF(10&lt;=DAY(EOMONTH(DATE($E$2,$C$2,1),0)),IF(SUMPRODUCT((DAY(Registres!C$2:C$500)=10)*(MONTH(Registres!C$2:C$500)=$C$2)*(YEAR(Registres!C$2:C$500)=$E$2)*(TEXT(Registres!F$2:F$500,"0")=TEXT($A21,"0")))&gt;0,"✓",""),"")</f>
        <v/>
      </c>
      <c r="N21" s="17" t="str">
        <f aca="false">IF(11&lt;=DAY(EOMONTH(DATE($E$2,$C$2,1),0)),IF(SUMPRODUCT((DAY(Registres!C$2:C$500)=11)*(MONTH(Registres!C$2:C$500)=$C$2)*(YEAR(Registres!C$2:C$500)=$E$2)*(TEXT(Registres!F$2:F$500,"0")=TEXT($A21,"0")))&gt;0,"✓",""),"")</f>
        <v/>
      </c>
      <c r="O21" s="17" t="str">
        <f aca="false">IF(12&lt;=DAY(EOMONTH(DATE($E$2,$C$2,1),0)),IF(SUMPRODUCT((DAY(Registres!C$2:C$500)=12)*(MONTH(Registres!C$2:C$500)=$C$2)*(YEAR(Registres!C$2:C$500)=$E$2)*(TEXT(Registres!F$2:F$500,"0")=TEXT($A21,"0")))&gt;0,"✓",""),"")</f>
        <v/>
      </c>
      <c r="P21" s="17" t="str">
        <f aca="false">IF(13&lt;=DAY(EOMONTH(DATE($E$2,$C$2,1),0)),IF(SUMPRODUCT((DAY(Registres!C$2:C$500)=13)*(MONTH(Registres!C$2:C$500)=$C$2)*(YEAR(Registres!C$2:C$500)=$E$2)*(TEXT(Registres!F$2:F$500,"0")=TEXT($A21,"0")))&gt;0,"✓",""),"")</f>
        <v/>
      </c>
      <c r="Q21" s="17" t="str">
        <f aca="false">IF(14&lt;=DAY(EOMONTH(DATE($E$2,$C$2,1),0)),IF(SUMPRODUCT((DAY(Registres!C$2:C$500)=14)*(MONTH(Registres!C$2:C$500)=$C$2)*(YEAR(Registres!C$2:C$500)=$E$2)*(TEXT(Registres!F$2:F$500,"0")=TEXT($A21,"0")))&gt;0,"✓",""),"")</f>
        <v/>
      </c>
      <c r="R21" s="17" t="str">
        <f aca="false">IF(15&lt;=DAY(EOMONTH(DATE($E$2,$C$2,1),0)),IF(SUMPRODUCT((DAY(Registres!C$2:C$500)=15)*(MONTH(Registres!C$2:C$500)=$C$2)*(YEAR(Registres!C$2:C$500)=$E$2)*(TEXT(Registres!F$2:F$500,"0")=TEXT($A21,"0")))&gt;0,"✓",""),"")</f>
        <v/>
      </c>
      <c r="S21" s="17" t="str">
        <f aca="false">IF(16&lt;=DAY(EOMONTH(DATE($E$2,$C$2,1),0)),IF(SUMPRODUCT((DAY(Registres!C$2:C$500)=16)*(MONTH(Registres!C$2:C$500)=$C$2)*(YEAR(Registres!C$2:C$500)=$E$2)*(TEXT(Registres!F$2:F$500,"0")=TEXT($A21,"0")))&gt;0,"✓",""),"")</f>
        <v/>
      </c>
      <c r="T21" s="17" t="str">
        <f aca="false">IF(17&lt;=DAY(EOMONTH(DATE($E$2,$C$2,1),0)),IF(SUMPRODUCT((DAY(Registres!C$2:C$500)=17)*(MONTH(Registres!C$2:C$500)=$C$2)*(YEAR(Registres!C$2:C$500)=$E$2)*(TEXT(Registres!F$2:F$500,"0")=TEXT($A21,"0")))&gt;0,"✓",""),"")</f>
        <v/>
      </c>
      <c r="U21" s="17" t="str">
        <f aca="false">IF(18&lt;=DAY(EOMONTH(DATE($E$2,$C$2,1),0)),IF(SUMPRODUCT((DAY(Registres!C$2:C$500)=18)*(MONTH(Registres!C$2:C$500)=$C$2)*(YEAR(Registres!C$2:C$500)=$E$2)*(TEXT(Registres!F$2:F$500,"0")=TEXT($A21,"0")))&gt;0,"✓",""),"")</f>
        <v/>
      </c>
      <c r="V21" s="17" t="str">
        <f aca="false">IF(19&lt;=DAY(EOMONTH(DATE($E$2,$C$2,1),0)),IF(SUMPRODUCT((DAY(Registres!C$2:C$500)=19)*(MONTH(Registres!C$2:C$500)=$C$2)*(YEAR(Registres!C$2:C$500)=$E$2)*(TEXT(Registres!F$2:F$500,"0")=TEXT($A21,"0")))&gt;0,"✓",""),"")</f>
        <v/>
      </c>
      <c r="W21" s="17" t="str">
        <f aca="false">IF(20&lt;=DAY(EOMONTH(DATE($E$2,$C$2,1),0)),IF(SUMPRODUCT((DAY(Registres!C$2:C$500)=20)*(MONTH(Registres!C$2:C$500)=$C$2)*(YEAR(Registres!C$2:C$500)=$E$2)*(TEXT(Registres!F$2:F$500,"0")=TEXT($A21,"0")))&gt;0,"✓",""),"")</f>
        <v/>
      </c>
      <c r="X21" s="17" t="str">
        <f aca="false">IF(21&lt;=DAY(EOMONTH(DATE($E$2,$C$2,1),0)),IF(SUMPRODUCT((DAY(Registres!C$2:C$500)=21)*(MONTH(Registres!C$2:C$500)=$C$2)*(YEAR(Registres!C$2:C$500)=$E$2)*(TEXT(Registres!F$2:F$500,"0")=TEXT($A21,"0")))&gt;0,"✓",""),"")</f>
        <v/>
      </c>
      <c r="Y21" s="17" t="str">
        <f aca="false">IF(22&lt;=DAY(EOMONTH(DATE($E$2,$C$2,1),0)),IF(SUMPRODUCT((DAY(Registres!C$2:C$500)=22)*(MONTH(Registres!C$2:C$500)=$C$2)*(YEAR(Registres!C$2:C$500)=$E$2)*(TEXT(Registres!F$2:F$500,"0")=TEXT($A21,"0")))&gt;0,"✓",""),"")</f>
        <v/>
      </c>
      <c r="Z21" s="17" t="str">
        <f aca="false">IF(23&lt;=DAY(EOMONTH(DATE($E$2,$C$2,1),0)),IF(SUMPRODUCT((DAY(Registres!C$2:C$500)=23)*(MONTH(Registres!C$2:C$500)=$C$2)*(YEAR(Registres!C$2:C$500)=$E$2)*(TEXT(Registres!F$2:F$500,"0")=TEXT($A21,"0")))&gt;0,"✓",""),"")</f>
        <v/>
      </c>
      <c r="AA21" s="17" t="str">
        <f aca="false">IF(24&lt;=DAY(EOMONTH(DATE($E$2,$C$2,1),0)),IF(SUMPRODUCT((DAY(Registres!C$2:C$500)=24)*(MONTH(Registres!C$2:C$500)=$C$2)*(YEAR(Registres!C$2:C$500)=$E$2)*(TEXT(Registres!F$2:F$500,"0")=TEXT($A21,"0")))&gt;0,"✓",""),"")</f>
        <v/>
      </c>
      <c r="AB21" s="17" t="str">
        <f aca="false">IF(25&lt;=DAY(EOMONTH(DATE($E$2,$C$2,1),0)),IF(SUMPRODUCT((DAY(Registres!C$2:C$500)=25)*(MONTH(Registres!C$2:C$500)=$C$2)*(YEAR(Registres!C$2:C$500)=$E$2)*(TEXT(Registres!F$2:F$500,"0")=TEXT($A21,"0")))&gt;0,"✓",""),"")</f>
        <v/>
      </c>
      <c r="AC21" s="17" t="str">
        <f aca="false">IF(26&lt;=DAY(EOMONTH(DATE($E$2,$C$2,1),0)),IF(SUMPRODUCT((DAY(Registres!C$2:C$500)=26)*(MONTH(Registres!C$2:C$500)=$C$2)*(YEAR(Registres!C$2:C$500)=$E$2)*(TEXT(Registres!F$2:F$500,"0")=TEXT($A21,"0")))&gt;0,"✓",""),"")</f>
        <v/>
      </c>
      <c r="AD21" s="17" t="str">
        <f aca="false">IF(27&lt;=DAY(EOMONTH(DATE($E$2,$C$2,1),0)),IF(SUMPRODUCT((DAY(Registres!C$2:C$500)=27)*(MONTH(Registres!C$2:C$500)=$C$2)*(YEAR(Registres!C$2:C$500)=$E$2)*(TEXT(Registres!F$2:F$500,"0")=TEXT($A21,"0")))&gt;0,"✓",""),"")</f>
        <v/>
      </c>
      <c r="AE21" s="17" t="str">
        <f aca="false">IF(28&lt;=DAY(EOMONTH(DATE($E$2,$C$2,1),0)),IF(SUMPRODUCT((DAY(Registres!C$2:C$500)=28)*(MONTH(Registres!C$2:C$500)=$C$2)*(YEAR(Registres!C$2:C$500)=$E$2)*(TEXT(Registres!F$2:F$500,"0")=TEXT($A21,"0")))&gt;0,"✓",""),"")</f>
        <v/>
      </c>
      <c r="AF21" s="17" t="str">
        <f aca="false">IF(29&lt;=DAY(EOMONTH(DATE($E$2,$C$2,1),0)),IF(SUMPRODUCT((DAY(Registres!C$2:C$500)=29)*(MONTH(Registres!C$2:C$500)=$C$2)*(YEAR(Registres!C$2:C$500)=$E$2)*(TEXT(Registres!F$2:F$500,"0")=TEXT($A21,"0")))&gt;0,"✓",""),"")</f>
        <v/>
      </c>
      <c r="AG21" s="17" t="str">
        <f aca="false">IF(30&lt;=DAY(EOMONTH(DATE($E$2,$C$2,1),0)),IF(SUMPRODUCT((DAY(Registres!C$2:C$500)=30)*(MONTH(Registres!C$2:C$500)=$C$2)*(YEAR(Registres!C$2:C$500)=$E$2)*(TEXT(Registres!F$2:F$500,"0")=TEXT($A21,"0")))&gt;0,"✓",""),"")</f>
        <v/>
      </c>
      <c r="AH21" s="17" t="str">
        <f aca="false">IF(31&lt;=DAY(EOMONTH(DATE($E$2,$C$2,1),0)),IF(SUMPRODUCT((DAY(Registres!C$2:C$500)=31)*(MONTH(Registres!C$2:C$500)=$C$2)*(YEAR(Registres!C$2:C$500)=$E$2)*(TEXT(Registres!F$2:F$500,"0")=TEXT($A21,"0")))&gt;0,"✓",""),"")</f>
        <v/>
      </c>
      <c r="AI21" s="18" t="n">
        <f aca="false">COUNTIF(D21:AH21,"✓")</f>
        <v>0</v>
      </c>
    </row>
    <row r="22" customFormat="false" ht="15" hidden="false" customHeight="false" outlineLevel="0" collapsed="false">
      <c r="A22" s="19" t="n">
        <v>18</v>
      </c>
      <c r="B22" s="20" t="s">
        <v>131</v>
      </c>
      <c r="C22" s="21" t="s">
        <v>128</v>
      </c>
      <c r="D22" s="17" t="str">
        <f aca="false">IF(1&lt;=DAY(EOMONTH(DATE($E$2,$C$2,1),0)),IF(SUMPRODUCT((DAY(Registres!C$2:C$500)=1)*(MONTH(Registres!C$2:C$500)=$C$2)*(YEAR(Registres!C$2:C$500)=$E$2)*(TEXT(Registres!F$2:F$500,"0")=TEXT($A22,"0")))&gt;0,"✓",""),"")</f>
        <v/>
      </c>
      <c r="E22" s="17" t="str">
        <f aca="false">IF(2&lt;=DAY(EOMONTH(DATE($E$2,$C$2,1),0)),IF(SUMPRODUCT((DAY(Registres!C$2:C$500)=2)*(MONTH(Registres!C$2:C$500)=$C$2)*(YEAR(Registres!C$2:C$500)=$E$2)*(TEXT(Registres!F$2:F$500,"0")=TEXT($A22,"0")))&gt;0,"✓",""),"")</f>
        <v/>
      </c>
      <c r="F22" s="17" t="str">
        <f aca="false">IF(3&lt;=DAY(EOMONTH(DATE($E$2,$C$2,1),0)),IF(SUMPRODUCT((DAY(Registres!C$2:C$500)=3)*(MONTH(Registres!C$2:C$500)=$C$2)*(YEAR(Registres!C$2:C$500)=$E$2)*(TEXT(Registres!F$2:F$500,"0")=TEXT($A22,"0")))&gt;0,"✓",""),"")</f>
        <v/>
      </c>
      <c r="G22" s="17" t="str">
        <f aca="false">IF(4&lt;=DAY(EOMONTH(DATE($E$2,$C$2,1),0)),IF(SUMPRODUCT((DAY(Registres!C$2:C$500)=4)*(MONTH(Registres!C$2:C$500)=$C$2)*(YEAR(Registres!C$2:C$500)=$E$2)*(TEXT(Registres!F$2:F$500,"0")=TEXT($A22,"0")))&gt;0,"✓",""),"")</f>
        <v/>
      </c>
      <c r="H22" s="17" t="str">
        <f aca="false">IF(5&lt;=DAY(EOMONTH(DATE($E$2,$C$2,1),0)),IF(SUMPRODUCT((DAY(Registres!C$2:C$500)=5)*(MONTH(Registres!C$2:C$500)=$C$2)*(YEAR(Registres!C$2:C$500)=$E$2)*(TEXT(Registres!F$2:F$500,"0")=TEXT($A22,"0")))&gt;0,"✓",""),"")</f>
        <v/>
      </c>
      <c r="I22" s="17" t="str">
        <f aca="false">IF(6&lt;=DAY(EOMONTH(DATE($E$2,$C$2,1),0)),IF(SUMPRODUCT((DAY(Registres!C$2:C$500)=6)*(MONTH(Registres!C$2:C$500)=$C$2)*(YEAR(Registres!C$2:C$500)=$E$2)*(TEXT(Registres!F$2:F$500,"0")=TEXT($A22,"0")))&gt;0,"✓",""),"")</f>
        <v/>
      </c>
      <c r="J22" s="17" t="str">
        <f aca="false">IF(7&lt;=DAY(EOMONTH(DATE($E$2,$C$2,1),0)),IF(SUMPRODUCT((DAY(Registres!C$2:C$500)=7)*(MONTH(Registres!C$2:C$500)=$C$2)*(YEAR(Registres!C$2:C$500)=$E$2)*(TEXT(Registres!F$2:F$500,"0")=TEXT($A22,"0")))&gt;0,"✓",""),"")</f>
        <v/>
      </c>
      <c r="K22" s="17" t="str">
        <f aca="false">IF(8&lt;=DAY(EOMONTH(DATE($E$2,$C$2,1),0)),IF(SUMPRODUCT((DAY(Registres!C$2:C$500)=8)*(MONTH(Registres!C$2:C$500)=$C$2)*(YEAR(Registres!C$2:C$500)=$E$2)*(TEXT(Registres!F$2:F$500,"0")=TEXT($A22,"0")))&gt;0,"✓",""),"")</f>
        <v/>
      </c>
      <c r="L22" s="17" t="str">
        <f aca="false">IF(9&lt;=DAY(EOMONTH(DATE($E$2,$C$2,1),0)),IF(SUMPRODUCT((DAY(Registres!C$2:C$500)=9)*(MONTH(Registres!C$2:C$500)=$C$2)*(YEAR(Registres!C$2:C$500)=$E$2)*(TEXT(Registres!F$2:F$500,"0")=TEXT($A22,"0")))&gt;0,"✓",""),"")</f>
        <v/>
      </c>
      <c r="M22" s="17" t="str">
        <f aca="false">IF(10&lt;=DAY(EOMONTH(DATE($E$2,$C$2,1),0)),IF(SUMPRODUCT((DAY(Registres!C$2:C$500)=10)*(MONTH(Registres!C$2:C$500)=$C$2)*(YEAR(Registres!C$2:C$500)=$E$2)*(TEXT(Registres!F$2:F$500,"0")=TEXT($A22,"0")))&gt;0,"✓",""),"")</f>
        <v/>
      </c>
      <c r="N22" s="17" t="str">
        <f aca="false">IF(11&lt;=DAY(EOMONTH(DATE($E$2,$C$2,1),0)),IF(SUMPRODUCT((DAY(Registres!C$2:C$500)=11)*(MONTH(Registres!C$2:C$500)=$C$2)*(YEAR(Registres!C$2:C$500)=$E$2)*(TEXT(Registres!F$2:F$500,"0")=TEXT($A22,"0")))&gt;0,"✓",""),"")</f>
        <v/>
      </c>
      <c r="O22" s="17" t="str">
        <f aca="false">IF(12&lt;=DAY(EOMONTH(DATE($E$2,$C$2,1),0)),IF(SUMPRODUCT((DAY(Registres!C$2:C$500)=12)*(MONTH(Registres!C$2:C$500)=$C$2)*(YEAR(Registres!C$2:C$500)=$E$2)*(TEXT(Registres!F$2:F$500,"0")=TEXT($A22,"0")))&gt;0,"✓",""),"")</f>
        <v/>
      </c>
      <c r="P22" s="17" t="str">
        <f aca="false">IF(13&lt;=DAY(EOMONTH(DATE($E$2,$C$2,1),0)),IF(SUMPRODUCT((DAY(Registres!C$2:C$500)=13)*(MONTH(Registres!C$2:C$500)=$C$2)*(YEAR(Registres!C$2:C$500)=$E$2)*(TEXT(Registres!F$2:F$500,"0")=TEXT($A22,"0")))&gt;0,"✓",""),"")</f>
        <v/>
      </c>
      <c r="Q22" s="17" t="str">
        <f aca="false">IF(14&lt;=DAY(EOMONTH(DATE($E$2,$C$2,1),0)),IF(SUMPRODUCT((DAY(Registres!C$2:C$500)=14)*(MONTH(Registres!C$2:C$500)=$C$2)*(YEAR(Registres!C$2:C$500)=$E$2)*(TEXT(Registres!F$2:F$500,"0")=TEXT($A22,"0")))&gt;0,"✓",""),"")</f>
        <v/>
      </c>
      <c r="R22" s="17" t="str">
        <f aca="false">IF(15&lt;=DAY(EOMONTH(DATE($E$2,$C$2,1),0)),IF(SUMPRODUCT((DAY(Registres!C$2:C$500)=15)*(MONTH(Registres!C$2:C$500)=$C$2)*(YEAR(Registres!C$2:C$500)=$E$2)*(TEXT(Registres!F$2:F$500,"0")=TEXT($A22,"0")))&gt;0,"✓",""),"")</f>
        <v/>
      </c>
      <c r="S22" s="17" t="str">
        <f aca="false">IF(16&lt;=DAY(EOMONTH(DATE($E$2,$C$2,1),0)),IF(SUMPRODUCT((DAY(Registres!C$2:C$500)=16)*(MONTH(Registres!C$2:C$500)=$C$2)*(YEAR(Registres!C$2:C$500)=$E$2)*(TEXT(Registres!F$2:F$500,"0")=TEXT($A22,"0")))&gt;0,"✓",""),"")</f>
        <v/>
      </c>
      <c r="T22" s="17" t="str">
        <f aca="false">IF(17&lt;=DAY(EOMONTH(DATE($E$2,$C$2,1),0)),IF(SUMPRODUCT((DAY(Registres!C$2:C$500)=17)*(MONTH(Registres!C$2:C$500)=$C$2)*(YEAR(Registres!C$2:C$500)=$E$2)*(TEXT(Registres!F$2:F$500,"0")=TEXT($A22,"0")))&gt;0,"✓",""),"")</f>
        <v/>
      </c>
      <c r="U22" s="17" t="str">
        <f aca="false">IF(18&lt;=DAY(EOMONTH(DATE($E$2,$C$2,1),0)),IF(SUMPRODUCT((DAY(Registres!C$2:C$500)=18)*(MONTH(Registres!C$2:C$500)=$C$2)*(YEAR(Registres!C$2:C$500)=$E$2)*(TEXT(Registres!F$2:F$500,"0")=TEXT($A22,"0")))&gt;0,"✓",""),"")</f>
        <v/>
      </c>
      <c r="V22" s="17" t="str">
        <f aca="false">IF(19&lt;=DAY(EOMONTH(DATE($E$2,$C$2,1),0)),IF(SUMPRODUCT((DAY(Registres!C$2:C$500)=19)*(MONTH(Registres!C$2:C$500)=$C$2)*(YEAR(Registres!C$2:C$500)=$E$2)*(TEXT(Registres!F$2:F$500,"0")=TEXT($A22,"0")))&gt;0,"✓",""),"")</f>
        <v/>
      </c>
      <c r="W22" s="17" t="str">
        <f aca="false">IF(20&lt;=DAY(EOMONTH(DATE($E$2,$C$2,1),0)),IF(SUMPRODUCT((DAY(Registres!C$2:C$500)=20)*(MONTH(Registres!C$2:C$500)=$C$2)*(YEAR(Registres!C$2:C$500)=$E$2)*(TEXT(Registres!F$2:F$500,"0")=TEXT($A22,"0")))&gt;0,"✓",""),"")</f>
        <v/>
      </c>
      <c r="X22" s="17" t="str">
        <f aca="false">IF(21&lt;=DAY(EOMONTH(DATE($E$2,$C$2,1),0)),IF(SUMPRODUCT((DAY(Registres!C$2:C$500)=21)*(MONTH(Registres!C$2:C$500)=$C$2)*(YEAR(Registres!C$2:C$500)=$E$2)*(TEXT(Registres!F$2:F$500,"0")=TEXT($A22,"0")))&gt;0,"✓",""),"")</f>
        <v/>
      </c>
      <c r="Y22" s="17" t="str">
        <f aca="false">IF(22&lt;=DAY(EOMONTH(DATE($E$2,$C$2,1),0)),IF(SUMPRODUCT((DAY(Registres!C$2:C$500)=22)*(MONTH(Registres!C$2:C$500)=$C$2)*(YEAR(Registres!C$2:C$500)=$E$2)*(TEXT(Registres!F$2:F$500,"0")=TEXT($A22,"0")))&gt;0,"✓",""),"")</f>
        <v/>
      </c>
      <c r="Z22" s="17" t="str">
        <f aca="false">IF(23&lt;=DAY(EOMONTH(DATE($E$2,$C$2,1),0)),IF(SUMPRODUCT((DAY(Registres!C$2:C$500)=23)*(MONTH(Registres!C$2:C$500)=$C$2)*(YEAR(Registres!C$2:C$500)=$E$2)*(TEXT(Registres!F$2:F$500,"0")=TEXT($A22,"0")))&gt;0,"✓",""),"")</f>
        <v/>
      </c>
      <c r="AA22" s="17" t="str">
        <f aca="false">IF(24&lt;=DAY(EOMONTH(DATE($E$2,$C$2,1),0)),IF(SUMPRODUCT((DAY(Registres!C$2:C$500)=24)*(MONTH(Registres!C$2:C$500)=$C$2)*(YEAR(Registres!C$2:C$500)=$E$2)*(TEXT(Registres!F$2:F$500,"0")=TEXT($A22,"0")))&gt;0,"✓",""),"")</f>
        <v/>
      </c>
      <c r="AB22" s="17" t="str">
        <f aca="false">IF(25&lt;=DAY(EOMONTH(DATE($E$2,$C$2,1),0)),IF(SUMPRODUCT((DAY(Registres!C$2:C$500)=25)*(MONTH(Registres!C$2:C$500)=$C$2)*(YEAR(Registres!C$2:C$500)=$E$2)*(TEXT(Registres!F$2:F$500,"0")=TEXT($A22,"0")))&gt;0,"✓",""),"")</f>
        <v/>
      </c>
      <c r="AC22" s="17" t="str">
        <f aca="false">IF(26&lt;=DAY(EOMONTH(DATE($E$2,$C$2,1),0)),IF(SUMPRODUCT((DAY(Registres!C$2:C$500)=26)*(MONTH(Registres!C$2:C$500)=$C$2)*(YEAR(Registres!C$2:C$500)=$E$2)*(TEXT(Registres!F$2:F$500,"0")=TEXT($A22,"0")))&gt;0,"✓",""),"")</f>
        <v/>
      </c>
      <c r="AD22" s="17" t="str">
        <f aca="false">IF(27&lt;=DAY(EOMONTH(DATE($E$2,$C$2,1),0)),IF(SUMPRODUCT((DAY(Registres!C$2:C$500)=27)*(MONTH(Registres!C$2:C$500)=$C$2)*(YEAR(Registres!C$2:C$500)=$E$2)*(TEXT(Registres!F$2:F$500,"0")=TEXT($A22,"0")))&gt;0,"✓",""),"")</f>
        <v/>
      </c>
      <c r="AE22" s="17" t="str">
        <f aca="false">IF(28&lt;=DAY(EOMONTH(DATE($E$2,$C$2,1),0)),IF(SUMPRODUCT((DAY(Registres!C$2:C$500)=28)*(MONTH(Registres!C$2:C$500)=$C$2)*(YEAR(Registres!C$2:C$500)=$E$2)*(TEXT(Registres!F$2:F$500,"0")=TEXT($A22,"0")))&gt;0,"✓",""),"")</f>
        <v/>
      </c>
      <c r="AF22" s="17" t="str">
        <f aca="false">IF(29&lt;=DAY(EOMONTH(DATE($E$2,$C$2,1),0)),IF(SUMPRODUCT((DAY(Registres!C$2:C$500)=29)*(MONTH(Registres!C$2:C$500)=$C$2)*(YEAR(Registres!C$2:C$500)=$E$2)*(TEXT(Registres!F$2:F$500,"0")=TEXT($A22,"0")))&gt;0,"✓",""),"")</f>
        <v/>
      </c>
      <c r="AG22" s="17" t="str">
        <f aca="false">IF(30&lt;=DAY(EOMONTH(DATE($E$2,$C$2,1),0)),IF(SUMPRODUCT((DAY(Registres!C$2:C$500)=30)*(MONTH(Registres!C$2:C$500)=$C$2)*(YEAR(Registres!C$2:C$500)=$E$2)*(TEXT(Registres!F$2:F$500,"0")=TEXT($A22,"0")))&gt;0,"✓",""),"")</f>
        <v/>
      </c>
      <c r="AH22" s="17" t="str">
        <f aca="false">IF(31&lt;=DAY(EOMONTH(DATE($E$2,$C$2,1),0)),IF(SUMPRODUCT((DAY(Registres!C$2:C$500)=31)*(MONTH(Registres!C$2:C$500)=$C$2)*(YEAR(Registres!C$2:C$500)=$E$2)*(TEXT(Registres!F$2:F$500,"0")=TEXT($A22,"0")))&gt;0,"✓",""),"")</f>
        <v/>
      </c>
      <c r="AI22" s="18" t="n">
        <f aca="false">COUNTIF(D22:AH22,"✓")</f>
        <v>0</v>
      </c>
    </row>
    <row r="23" customFormat="false" ht="15" hidden="false" customHeight="false" outlineLevel="0" collapsed="false">
      <c r="A23" s="14" t="n">
        <v>19</v>
      </c>
      <c r="B23" s="15" t="s">
        <v>132</v>
      </c>
      <c r="C23" s="16" t="s">
        <v>128</v>
      </c>
      <c r="D23" s="17" t="str">
        <f aca="false">IF(1&lt;=DAY(EOMONTH(DATE($E$2,$C$2,1),0)),IF(SUMPRODUCT((DAY(Registres!C$2:C$500)=1)*(MONTH(Registres!C$2:C$500)=$C$2)*(YEAR(Registres!C$2:C$500)=$E$2)*(TEXT(Registres!F$2:F$500,"0")=TEXT($A23,"0")))&gt;0,"✓",""),"")</f>
        <v/>
      </c>
      <c r="E23" s="17" t="str">
        <f aca="false">IF(2&lt;=DAY(EOMONTH(DATE($E$2,$C$2,1),0)),IF(SUMPRODUCT((DAY(Registres!C$2:C$500)=2)*(MONTH(Registres!C$2:C$500)=$C$2)*(YEAR(Registres!C$2:C$500)=$E$2)*(TEXT(Registres!F$2:F$500,"0")=TEXT($A23,"0")))&gt;0,"✓",""),"")</f>
        <v/>
      </c>
      <c r="F23" s="17" t="str">
        <f aca="false">IF(3&lt;=DAY(EOMONTH(DATE($E$2,$C$2,1),0)),IF(SUMPRODUCT((DAY(Registres!C$2:C$500)=3)*(MONTH(Registres!C$2:C$500)=$C$2)*(YEAR(Registres!C$2:C$500)=$E$2)*(TEXT(Registres!F$2:F$500,"0")=TEXT($A23,"0")))&gt;0,"✓",""),"")</f>
        <v/>
      </c>
      <c r="G23" s="17" t="str">
        <f aca="false">IF(4&lt;=DAY(EOMONTH(DATE($E$2,$C$2,1),0)),IF(SUMPRODUCT((DAY(Registres!C$2:C$500)=4)*(MONTH(Registres!C$2:C$500)=$C$2)*(YEAR(Registres!C$2:C$500)=$E$2)*(TEXT(Registres!F$2:F$500,"0")=TEXT($A23,"0")))&gt;0,"✓",""),"")</f>
        <v/>
      </c>
      <c r="H23" s="17" t="str">
        <f aca="false">IF(5&lt;=DAY(EOMONTH(DATE($E$2,$C$2,1),0)),IF(SUMPRODUCT((DAY(Registres!C$2:C$500)=5)*(MONTH(Registres!C$2:C$500)=$C$2)*(YEAR(Registres!C$2:C$500)=$E$2)*(TEXT(Registres!F$2:F$500,"0")=TEXT($A23,"0")))&gt;0,"✓",""),"")</f>
        <v/>
      </c>
      <c r="I23" s="17" t="str">
        <f aca="false">IF(6&lt;=DAY(EOMONTH(DATE($E$2,$C$2,1),0)),IF(SUMPRODUCT((DAY(Registres!C$2:C$500)=6)*(MONTH(Registres!C$2:C$500)=$C$2)*(YEAR(Registres!C$2:C$500)=$E$2)*(TEXT(Registres!F$2:F$500,"0")=TEXT($A23,"0")))&gt;0,"✓",""),"")</f>
        <v/>
      </c>
      <c r="J23" s="17" t="str">
        <f aca="false">IF(7&lt;=DAY(EOMONTH(DATE($E$2,$C$2,1),0)),IF(SUMPRODUCT((DAY(Registres!C$2:C$500)=7)*(MONTH(Registres!C$2:C$500)=$C$2)*(YEAR(Registres!C$2:C$500)=$E$2)*(TEXT(Registres!F$2:F$500,"0")=TEXT($A23,"0")))&gt;0,"✓",""),"")</f>
        <v/>
      </c>
      <c r="K23" s="17" t="str">
        <f aca="false">IF(8&lt;=DAY(EOMONTH(DATE($E$2,$C$2,1),0)),IF(SUMPRODUCT((DAY(Registres!C$2:C$500)=8)*(MONTH(Registres!C$2:C$500)=$C$2)*(YEAR(Registres!C$2:C$500)=$E$2)*(TEXT(Registres!F$2:F$500,"0")=TEXT($A23,"0")))&gt;0,"✓",""),"")</f>
        <v/>
      </c>
      <c r="L23" s="17" t="str">
        <f aca="false">IF(9&lt;=DAY(EOMONTH(DATE($E$2,$C$2,1),0)),IF(SUMPRODUCT((DAY(Registres!C$2:C$500)=9)*(MONTH(Registres!C$2:C$500)=$C$2)*(YEAR(Registres!C$2:C$500)=$E$2)*(TEXT(Registres!F$2:F$500,"0")=TEXT($A23,"0")))&gt;0,"✓",""),"")</f>
        <v/>
      </c>
      <c r="M23" s="17" t="str">
        <f aca="false">IF(10&lt;=DAY(EOMONTH(DATE($E$2,$C$2,1),0)),IF(SUMPRODUCT((DAY(Registres!C$2:C$500)=10)*(MONTH(Registres!C$2:C$500)=$C$2)*(YEAR(Registres!C$2:C$500)=$E$2)*(TEXT(Registres!F$2:F$500,"0")=TEXT($A23,"0")))&gt;0,"✓",""),"")</f>
        <v/>
      </c>
      <c r="N23" s="17" t="str">
        <f aca="false">IF(11&lt;=DAY(EOMONTH(DATE($E$2,$C$2,1),0)),IF(SUMPRODUCT((DAY(Registres!C$2:C$500)=11)*(MONTH(Registres!C$2:C$500)=$C$2)*(YEAR(Registres!C$2:C$500)=$E$2)*(TEXT(Registres!F$2:F$500,"0")=TEXT($A23,"0")))&gt;0,"✓",""),"")</f>
        <v/>
      </c>
      <c r="O23" s="17" t="str">
        <f aca="false">IF(12&lt;=DAY(EOMONTH(DATE($E$2,$C$2,1),0)),IF(SUMPRODUCT((DAY(Registres!C$2:C$500)=12)*(MONTH(Registres!C$2:C$500)=$C$2)*(YEAR(Registres!C$2:C$500)=$E$2)*(TEXT(Registres!F$2:F$500,"0")=TEXT($A23,"0")))&gt;0,"✓",""),"")</f>
        <v/>
      </c>
      <c r="P23" s="17" t="str">
        <f aca="false">IF(13&lt;=DAY(EOMONTH(DATE($E$2,$C$2,1),0)),IF(SUMPRODUCT((DAY(Registres!C$2:C$500)=13)*(MONTH(Registres!C$2:C$500)=$C$2)*(YEAR(Registres!C$2:C$500)=$E$2)*(TEXT(Registres!F$2:F$500,"0")=TEXT($A23,"0")))&gt;0,"✓",""),"")</f>
        <v/>
      </c>
      <c r="Q23" s="17" t="str">
        <f aca="false">IF(14&lt;=DAY(EOMONTH(DATE($E$2,$C$2,1),0)),IF(SUMPRODUCT((DAY(Registres!C$2:C$500)=14)*(MONTH(Registres!C$2:C$500)=$C$2)*(YEAR(Registres!C$2:C$500)=$E$2)*(TEXT(Registres!F$2:F$500,"0")=TEXT($A23,"0")))&gt;0,"✓",""),"")</f>
        <v/>
      </c>
      <c r="R23" s="17" t="str">
        <f aca="false">IF(15&lt;=DAY(EOMONTH(DATE($E$2,$C$2,1),0)),IF(SUMPRODUCT((DAY(Registres!C$2:C$500)=15)*(MONTH(Registres!C$2:C$500)=$C$2)*(YEAR(Registres!C$2:C$500)=$E$2)*(TEXT(Registres!F$2:F$500,"0")=TEXT($A23,"0")))&gt;0,"✓",""),"")</f>
        <v/>
      </c>
      <c r="S23" s="17" t="str">
        <f aca="false">IF(16&lt;=DAY(EOMONTH(DATE($E$2,$C$2,1),0)),IF(SUMPRODUCT((DAY(Registres!C$2:C$500)=16)*(MONTH(Registres!C$2:C$500)=$C$2)*(YEAR(Registres!C$2:C$500)=$E$2)*(TEXT(Registres!F$2:F$500,"0")=TEXT($A23,"0")))&gt;0,"✓",""),"")</f>
        <v/>
      </c>
      <c r="T23" s="17" t="str">
        <f aca="false">IF(17&lt;=DAY(EOMONTH(DATE($E$2,$C$2,1),0)),IF(SUMPRODUCT((DAY(Registres!C$2:C$500)=17)*(MONTH(Registres!C$2:C$500)=$C$2)*(YEAR(Registres!C$2:C$500)=$E$2)*(TEXT(Registres!F$2:F$500,"0")=TEXT($A23,"0")))&gt;0,"✓",""),"")</f>
        <v/>
      </c>
      <c r="U23" s="17" t="str">
        <f aca="false">IF(18&lt;=DAY(EOMONTH(DATE($E$2,$C$2,1),0)),IF(SUMPRODUCT((DAY(Registres!C$2:C$500)=18)*(MONTH(Registres!C$2:C$500)=$C$2)*(YEAR(Registres!C$2:C$500)=$E$2)*(TEXT(Registres!F$2:F$500,"0")=TEXT($A23,"0")))&gt;0,"✓",""),"")</f>
        <v/>
      </c>
      <c r="V23" s="17" t="str">
        <f aca="false">IF(19&lt;=DAY(EOMONTH(DATE($E$2,$C$2,1),0)),IF(SUMPRODUCT((DAY(Registres!C$2:C$500)=19)*(MONTH(Registres!C$2:C$500)=$C$2)*(YEAR(Registres!C$2:C$500)=$E$2)*(TEXT(Registres!F$2:F$500,"0")=TEXT($A23,"0")))&gt;0,"✓",""),"")</f>
        <v/>
      </c>
      <c r="W23" s="17" t="str">
        <f aca="false">IF(20&lt;=DAY(EOMONTH(DATE($E$2,$C$2,1),0)),IF(SUMPRODUCT((DAY(Registres!C$2:C$500)=20)*(MONTH(Registres!C$2:C$500)=$C$2)*(YEAR(Registres!C$2:C$500)=$E$2)*(TEXT(Registres!F$2:F$500,"0")=TEXT($A23,"0")))&gt;0,"✓",""),"")</f>
        <v/>
      </c>
      <c r="X23" s="17" t="str">
        <f aca="false">IF(21&lt;=DAY(EOMONTH(DATE($E$2,$C$2,1),0)),IF(SUMPRODUCT((DAY(Registres!C$2:C$500)=21)*(MONTH(Registres!C$2:C$500)=$C$2)*(YEAR(Registres!C$2:C$500)=$E$2)*(TEXT(Registres!F$2:F$500,"0")=TEXT($A23,"0")))&gt;0,"✓",""),"")</f>
        <v/>
      </c>
      <c r="Y23" s="17" t="str">
        <f aca="false">IF(22&lt;=DAY(EOMONTH(DATE($E$2,$C$2,1),0)),IF(SUMPRODUCT((DAY(Registres!C$2:C$500)=22)*(MONTH(Registres!C$2:C$500)=$C$2)*(YEAR(Registres!C$2:C$500)=$E$2)*(TEXT(Registres!F$2:F$500,"0")=TEXT($A23,"0")))&gt;0,"✓",""),"")</f>
        <v/>
      </c>
      <c r="Z23" s="17" t="str">
        <f aca="false">IF(23&lt;=DAY(EOMONTH(DATE($E$2,$C$2,1),0)),IF(SUMPRODUCT((DAY(Registres!C$2:C$500)=23)*(MONTH(Registres!C$2:C$500)=$C$2)*(YEAR(Registres!C$2:C$500)=$E$2)*(TEXT(Registres!F$2:F$500,"0")=TEXT($A23,"0")))&gt;0,"✓",""),"")</f>
        <v/>
      </c>
      <c r="AA23" s="17" t="str">
        <f aca="false">IF(24&lt;=DAY(EOMONTH(DATE($E$2,$C$2,1),0)),IF(SUMPRODUCT((DAY(Registres!C$2:C$500)=24)*(MONTH(Registres!C$2:C$500)=$C$2)*(YEAR(Registres!C$2:C$500)=$E$2)*(TEXT(Registres!F$2:F$500,"0")=TEXT($A23,"0")))&gt;0,"✓",""),"")</f>
        <v/>
      </c>
      <c r="AB23" s="17" t="str">
        <f aca="false">IF(25&lt;=DAY(EOMONTH(DATE($E$2,$C$2,1),0)),IF(SUMPRODUCT((DAY(Registres!C$2:C$500)=25)*(MONTH(Registres!C$2:C$500)=$C$2)*(YEAR(Registres!C$2:C$500)=$E$2)*(TEXT(Registres!F$2:F$500,"0")=TEXT($A23,"0")))&gt;0,"✓",""),"")</f>
        <v/>
      </c>
      <c r="AC23" s="17" t="str">
        <f aca="false">IF(26&lt;=DAY(EOMONTH(DATE($E$2,$C$2,1),0)),IF(SUMPRODUCT((DAY(Registres!C$2:C$500)=26)*(MONTH(Registres!C$2:C$500)=$C$2)*(YEAR(Registres!C$2:C$500)=$E$2)*(TEXT(Registres!F$2:F$500,"0")=TEXT($A23,"0")))&gt;0,"✓",""),"")</f>
        <v/>
      </c>
      <c r="AD23" s="17" t="str">
        <f aca="false">IF(27&lt;=DAY(EOMONTH(DATE($E$2,$C$2,1),0)),IF(SUMPRODUCT((DAY(Registres!C$2:C$500)=27)*(MONTH(Registres!C$2:C$500)=$C$2)*(YEAR(Registres!C$2:C$500)=$E$2)*(TEXT(Registres!F$2:F$500,"0")=TEXT($A23,"0")))&gt;0,"✓",""),"")</f>
        <v/>
      </c>
      <c r="AE23" s="17" t="str">
        <f aca="false">IF(28&lt;=DAY(EOMONTH(DATE($E$2,$C$2,1),0)),IF(SUMPRODUCT((DAY(Registres!C$2:C$500)=28)*(MONTH(Registres!C$2:C$500)=$C$2)*(YEAR(Registres!C$2:C$500)=$E$2)*(TEXT(Registres!F$2:F$500,"0")=TEXT($A23,"0")))&gt;0,"✓",""),"")</f>
        <v/>
      </c>
      <c r="AF23" s="17" t="str">
        <f aca="false">IF(29&lt;=DAY(EOMONTH(DATE($E$2,$C$2,1),0)),IF(SUMPRODUCT((DAY(Registres!C$2:C$500)=29)*(MONTH(Registres!C$2:C$500)=$C$2)*(YEAR(Registres!C$2:C$500)=$E$2)*(TEXT(Registres!F$2:F$500,"0")=TEXT($A23,"0")))&gt;0,"✓",""),"")</f>
        <v/>
      </c>
      <c r="AG23" s="17" t="str">
        <f aca="false">IF(30&lt;=DAY(EOMONTH(DATE($E$2,$C$2,1),0)),IF(SUMPRODUCT((DAY(Registres!C$2:C$500)=30)*(MONTH(Registres!C$2:C$500)=$C$2)*(YEAR(Registres!C$2:C$500)=$E$2)*(TEXT(Registres!F$2:F$500,"0")=TEXT($A23,"0")))&gt;0,"✓",""),"")</f>
        <v/>
      </c>
      <c r="AH23" s="17" t="str">
        <f aca="false">IF(31&lt;=DAY(EOMONTH(DATE($E$2,$C$2,1),0)),IF(SUMPRODUCT((DAY(Registres!C$2:C$500)=31)*(MONTH(Registres!C$2:C$500)=$C$2)*(YEAR(Registres!C$2:C$500)=$E$2)*(TEXT(Registres!F$2:F$500,"0")=TEXT($A23,"0")))&gt;0,"✓",""),"")</f>
        <v/>
      </c>
      <c r="AI23" s="18" t="n">
        <f aca="false">COUNTIF(D23:AH23,"✓")</f>
        <v>0</v>
      </c>
    </row>
    <row r="24" customFormat="false" ht="15" hidden="false" customHeight="false" outlineLevel="0" collapsed="false">
      <c r="A24" s="19" t="n">
        <v>20</v>
      </c>
      <c r="B24" s="20" t="s">
        <v>133</v>
      </c>
      <c r="C24" s="21" t="s">
        <v>128</v>
      </c>
      <c r="D24" s="17" t="str">
        <f aca="false">IF(1&lt;=DAY(EOMONTH(DATE($E$2,$C$2,1),0)),IF(SUMPRODUCT((DAY(Registres!C$2:C$500)=1)*(MONTH(Registres!C$2:C$500)=$C$2)*(YEAR(Registres!C$2:C$500)=$E$2)*(TEXT(Registres!F$2:F$500,"0")=TEXT($A24,"0")))&gt;0,"✓",""),"")</f>
        <v/>
      </c>
      <c r="E24" s="17" t="str">
        <f aca="false">IF(2&lt;=DAY(EOMONTH(DATE($E$2,$C$2,1),0)),IF(SUMPRODUCT((DAY(Registres!C$2:C$500)=2)*(MONTH(Registres!C$2:C$500)=$C$2)*(YEAR(Registres!C$2:C$500)=$E$2)*(TEXT(Registres!F$2:F$500,"0")=TEXT($A24,"0")))&gt;0,"✓",""),"")</f>
        <v/>
      </c>
      <c r="F24" s="17" t="str">
        <f aca="false">IF(3&lt;=DAY(EOMONTH(DATE($E$2,$C$2,1),0)),IF(SUMPRODUCT((DAY(Registres!C$2:C$500)=3)*(MONTH(Registres!C$2:C$500)=$C$2)*(YEAR(Registres!C$2:C$500)=$E$2)*(TEXT(Registres!F$2:F$500,"0")=TEXT($A24,"0")))&gt;0,"✓",""),"")</f>
        <v/>
      </c>
      <c r="G24" s="17" t="str">
        <f aca="false">IF(4&lt;=DAY(EOMONTH(DATE($E$2,$C$2,1),0)),IF(SUMPRODUCT((DAY(Registres!C$2:C$500)=4)*(MONTH(Registres!C$2:C$500)=$C$2)*(YEAR(Registres!C$2:C$500)=$E$2)*(TEXT(Registres!F$2:F$500,"0")=TEXT($A24,"0")))&gt;0,"✓",""),"")</f>
        <v/>
      </c>
      <c r="H24" s="17" t="str">
        <f aca="false">IF(5&lt;=DAY(EOMONTH(DATE($E$2,$C$2,1),0)),IF(SUMPRODUCT((DAY(Registres!C$2:C$500)=5)*(MONTH(Registres!C$2:C$500)=$C$2)*(YEAR(Registres!C$2:C$500)=$E$2)*(TEXT(Registres!F$2:F$500,"0")=TEXT($A24,"0")))&gt;0,"✓",""),"")</f>
        <v/>
      </c>
      <c r="I24" s="17" t="str">
        <f aca="false">IF(6&lt;=DAY(EOMONTH(DATE($E$2,$C$2,1),0)),IF(SUMPRODUCT((DAY(Registres!C$2:C$500)=6)*(MONTH(Registres!C$2:C$500)=$C$2)*(YEAR(Registres!C$2:C$500)=$E$2)*(TEXT(Registres!F$2:F$500,"0")=TEXT($A24,"0")))&gt;0,"✓",""),"")</f>
        <v/>
      </c>
      <c r="J24" s="17" t="str">
        <f aca="false">IF(7&lt;=DAY(EOMONTH(DATE($E$2,$C$2,1),0)),IF(SUMPRODUCT((DAY(Registres!C$2:C$500)=7)*(MONTH(Registres!C$2:C$500)=$C$2)*(YEAR(Registres!C$2:C$500)=$E$2)*(TEXT(Registres!F$2:F$500,"0")=TEXT($A24,"0")))&gt;0,"✓",""),"")</f>
        <v/>
      </c>
      <c r="K24" s="17" t="str">
        <f aca="false">IF(8&lt;=DAY(EOMONTH(DATE($E$2,$C$2,1),0)),IF(SUMPRODUCT((DAY(Registres!C$2:C$500)=8)*(MONTH(Registres!C$2:C$500)=$C$2)*(YEAR(Registres!C$2:C$500)=$E$2)*(TEXT(Registres!F$2:F$500,"0")=TEXT($A24,"0")))&gt;0,"✓",""),"")</f>
        <v/>
      </c>
      <c r="L24" s="17" t="str">
        <f aca="false">IF(9&lt;=DAY(EOMONTH(DATE($E$2,$C$2,1),0)),IF(SUMPRODUCT((DAY(Registres!C$2:C$500)=9)*(MONTH(Registres!C$2:C$500)=$C$2)*(YEAR(Registres!C$2:C$500)=$E$2)*(TEXT(Registres!F$2:F$500,"0")=TEXT($A24,"0")))&gt;0,"✓",""),"")</f>
        <v/>
      </c>
      <c r="M24" s="17" t="str">
        <f aca="false">IF(10&lt;=DAY(EOMONTH(DATE($E$2,$C$2,1),0)),IF(SUMPRODUCT((DAY(Registres!C$2:C$500)=10)*(MONTH(Registres!C$2:C$500)=$C$2)*(YEAR(Registres!C$2:C$500)=$E$2)*(TEXT(Registres!F$2:F$500,"0")=TEXT($A24,"0")))&gt;0,"✓",""),"")</f>
        <v/>
      </c>
      <c r="N24" s="17" t="str">
        <f aca="false">IF(11&lt;=DAY(EOMONTH(DATE($E$2,$C$2,1),0)),IF(SUMPRODUCT((DAY(Registres!C$2:C$500)=11)*(MONTH(Registres!C$2:C$500)=$C$2)*(YEAR(Registres!C$2:C$500)=$E$2)*(TEXT(Registres!F$2:F$500,"0")=TEXT($A24,"0")))&gt;0,"✓",""),"")</f>
        <v/>
      </c>
      <c r="O24" s="17" t="str">
        <f aca="false">IF(12&lt;=DAY(EOMONTH(DATE($E$2,$C$2,1),0)),IF(SUMPRODUCT((DAY(Registres!C$2:C$500)=12)*(MONTH(Registres!C$2:C$500)=$C$2)*(YEAR(Registres!C$2:C$500)=$E$2)*(TEXT(Registres!F$2:F$500,"0")=TEXT($A24,"0")))&gt;0,"✓",""),"")</f>
        <v/>
      </c>
      <c r="P24" s="17" t="str">
        <f aca="false">IF(13&lt;=DAY(EOMONTH(DATE($E$2,$C$2,1),0)),IF(SUMPRODUCT((DAY(Registres!C$2:C$500)=13)*(MONTH(Registres!C$2:C$500)=$C$2)*(YEAR(Registres!C$2:C$500)=$E$2)*(TEXT(Registres!F$2:F$500,"0")=TEXT($A24,"0")))&gt;0,"✓",""),"")</f>
        <v/>
      </c>
      <c r="Q24" s="17" t="str">
        <f aca="false">IF(14&lt;=DAY(EOMONTH(DATE($E$2,$C$2,1),0)),IF(SUMPRODUCT((DAY(Registres!C$2:C$500)=14)*(MONTH(Registres!C$2:C$500)=$C$2)*(YEAR(Registres!C$2:C$500)=$E$2)*(TEXT(Registres!F$2:F$500,"0")=TEXT($A24,"0")))&gt;0,"✓",""),"")</f>
        <v/>
      </c>
      <c r="R24" s="17" t="str">
        <f aca="false">IF(15&lt;=DAY(EOMONTH(DATE($E$2,$C$2,1),0)),IF(SUMPRODUCT((DAY(Registres!C$2:C$500)=15)*(MONTH(Registres!C$2:C$500)=$C$2)*(YEAR(Registres!C$2:C$500)=$E$2)*(TEXT(Registres!F$2:F$500,"0")=TEXT($A24,"0")))&gt;0,"✓",""),"")</f>
        <v/>
      </c>
      <c r="S24" s="17" t="str">
        <f aca="false">IF(16&lt;=DAY(EOMONTH(DATE($E$2,$C$2,1),0)),IF(SUMPRODUCT((DAY(Registres!C$2:C$500)=16)*(MONTH(Registres!C$2:C$500)=$C$2)*(YEAR(Registres!C$2:C$500)=$E$2)*(TEXT(Registres!F$2:F$500,"0")=TEXT($A24,"0")))&gt;0,"✓",""),"")</f>
        <v/>
      </c>
      <c r="T24" s="17" t="str">
        <f aca="false">IF(17&lt;=DAY(EOMONTH(DATE($E$2,$C$2,1),0)),IF(SUMPRODUCT((DAY(Registres!C$2:C$500)=17)*(MONTH(Registres!C$2:C$500)=$C$2)*(YEAR(Registres!C$2:C$500)=$E$2)*(TEXT(Registres!F$2:F$500,"0")=TEXT($A24,"0")))&gt;0,"✓",""),"")</f>
        <v/>
      </c>
      <c r="U24" s="17" t="str">
        <f aca="false">IF(18&lt;=DAY(EOMONTH(DATE($E$2,$C$2,1),0)),IF(SUMPRODUCT((DAY(Registres!C$2:C$500)=18)*(MONTH(Registres!C$2:C$500)=$C$2)*(YEAR(Registres!C$2:C$500)=$E$2)*(TEXT(Registres!F$2:F$500,"0")=TEXT($A24,"0")))&gt;0,"✓",""),"")</f>
        <v/>
      </c>
      <c r="V24" s="17" t="str">
        <f aca="false">IF(19&lt;=DAY(EOMONTH(DATE($E$2,$C$2,1),0)),IF(SUMPRODUCT((DAY(Registres!C$2:C$500)=19)*(MONTH(Registres!C$2:C$500)=$C$2)*(YEAR(Registres!C$2:C$500)=$E$2)*(TEXT(Registres!F$2:F$500,"0")=TEXT($A24,"0")))&gt;0,"✓",""),"")</f>
        <v/>
      </c>
      <c r="W24" s="17" t="str">
        <f aca="false">IF(20&lt;=DAY(EOMONTH(DATE($E$2,$C$2,1),0)),IF(SUMPRODUCT((DAY(Registres!C$2:C$500)=20)*(MONTH(Registres!C$2:C$500)=$C$2)*(YEAR(Registres!C$2:C$500)=$E$2)*(TEXT(Registres!F$2:F$500,"0")=TEXT($A24,"0")))&gt;0,"✓",""),"")</f>
        <v/>
      </c>
      <c r="X24" s="17" t="str">
        <f aca="false">IF(21&lt;=DAY(EOMONTH(DATE($E$2,$C$2,1),0)),IF(SUMPRODUCT((DAY(Registres!C$2:C$500)=21)*(MONTH(Registres!C$2:C$500)=$C$2)*(YEAR(Registres!C$2:C$500)=$E$2)*(TEXT(Registres!F$2:F$500,"0")=TEXT($A24,"0")))&gt;0,"✓",""),"")</f>
        <v/>
      </c>
      <c r="Y24" s="17" t="str">
        <f aca="false">IF(22&lt;=DAY(EOMONTH(DATE($E$2,$C$2,1),0)),IF(SUMPRODUCT((DAY(Registres!C$2:C$500)=22)*(MONTH(Registres!C$2:C$500)=$C$2)*(YEAR(Registres!C$2:C$500)=$E$2)*(TEXT(Registres!F$2:F$500,"0")=TEXT($A24,"0")))&gt;0,"✓",""),"")</f>
        <v/>
      </c>
      <c r="Z24" s="17" t="str">
        <f aca="false">IF(23&lt;=DAY(EOMONTH(DATE($E$2,$C$2,1),0)),IF(SUMPRODUCT((DAY(Registres!C$2:C$500)=23)*(MONTH(Registres!C$2:C$500)=$C$2)*(YEAR(Registres!C$2:C$500)=$E$2)*(TEXT(Registres!F$2:F$500,"0")=TEXT($A24,"0")))&gt;0,"✓",""),"")</f>
        <v/>
      </c>
      <c r="AA24" s="17" t="str">
        <f aca="false">IF(24&lt;=DAY(EOMONTH(DATE($E$2,$C$2,1),0)),IF(SUMPRODUCT((DAY(Registres!C$2:C$500)=24)*(MONTH(Registres!C$2:C$500)=$C$2)*(YEAR(Registres!C$2:C$500)=$E$2)*(TEXT(Registres!F$2:F$500,"0")=TEXT($A24,"0")))&gt;0,"✓",""),"")</f>
        <v/>
      </c>
      <c r="AB24" s="17" t="str">
        <f aca="false">IF(25&lt;=DAY(EOMONTH(DATE($E$2,$C$2,1),0)),IF(SUMPRODUCT((DAY(Registres!C$2:C$500)=25)*(MONTH(Registres!C$2:C$500)=$C$2)*(YEAR(Registres!C$2:C$500)=$E$2)*(TEXT(Registres!F$2:F$500,"0")=TEXT($A24,"0")))&gt;0,"✓",""),"")</f>
        <v/>
      </c>
      <c r="AC24" s="17" t="str">
        <f aca="false">IF(26&lt;=DAY(EOMONTH(DATE($E$2,$C$2,1),0)),IF(SUMPRODUCT((DAY(Registres!C$2:C$500)=26)*(MONTH(Registres!C$2:C$500)=$C$2)*(YEAR(Registres!C$2:C$500)=$E$2)*(TEXT(Registres!F$2:F$500,"0")=TEXT($A24,"0")))&gt;0,"✓",""),"")</f>
        <v/>
      </c>
      <c r="AD24" s="17" t="str">
        <f aca="false">IF(27&lt;=DAY(EOMONTH(DATE($E$2,$C$2,1),0)),IF(SUMPRODUCT((DAY(Registres!C$2:C$500)=27)*(MONTH(Registres!C$2:C$500)=$C$2)*(YEAR(Registres!C$2:C$500)=$E$2)*(TEXT(Registres!F$2:F$500,"0")=TEXT($A24,"0")))&gt;0,"✓",""),"")</f>
        <v/>
      </c>
      <c r="AE24" s="17" t="str">
        <f aca="false">IF(28&lt;=DAY(EOMONTH(DATE($E$2,$C$2,1),0)),IF(SUMPRODUCT((DAY(Registres!C$2:C$500)=28)*(MONTH(Registres!C$2:C$500)=$C$2)*(YEAR(Registres!C$2:C$500)=$E$2)*(TEXT(Registres!F$2:F$500,"0")=TEXT($A24,"0")))&gt;0,"✓",""),"")</f>
        <v/>
      </c>
      <c r="AF24" s="17" t="str">
        <f aca="false">IF(29&lt;=DAY(EOMONTH(DATE($E$2,$C$2,1),0)),IF(SUMPRODUCT((DAY(Registres!C$2:C$500)=29)*(MONTH(Registres!C$2:C$500)=$C$2)*(YEAR(Registres!C$2:C$500)=$E$2)*(TEXT(Registres!F$2:F$500,"0")=TEXT($A24,"0")))&gt;0,"✓",""),"")</f>
        <v/>
      </c>
      <c r="AG24" s="17" t="str">
        <f aca="false">IF(30&lt;=DAY(EOMONTH(DATE($E$2,$C$2,1),0)),IF(SUMPRODUCT((DAY(Registres!C$2:C$500)=30)*(MONTH(Registres!C$2:C$500)=$C$2)*(YEAR(Registres!C$2:C$500)=$E$2)*(TEXT(Registres!F$2:F$500,"0")=TEXT($A24,"0")))&gt;0,"✓",""),"")</f>
        <v/>
      </c>
      <c r="AH24" s="17" t="str">
        <f aca="false">IF(31&lt;=DAY(EOMONTH(DATE($E$2,$C$2,1),0)),IF(SUMPRODUCT((DAY(Registres!C$2:C$500)=31)*(MONTH(Registres!C$2:C$500)=$C$2)*(YEAR(Registres!C$2:C$500)=$E$2)*(TEXT(Registres!F$2:F$500,"0")=TEXT($A24,"0")))&gt;0,"✓",""),"")</f>
        <v/>
      </c>
      <c r="AI24" s="18" t="n">
        <f aca="false">COUNTIF(D24:AH24,"✓")</f>
        <v>0</v>
      </c>
    </row>
    <row r="25" customFormat="false" ht="15" hidden="false" customHeight="false" outlineLevel="0" collapsed="false">
      <c r="A25" s="14" t="n">
        <v>21</v>
      </c>
      <c r="B25" s="15" t="s">
        <v>134</v>
      </c>
      <c r="C25" s="16" t="s">
        <v>128</v>
      </c>
      <c r="D25" s="17" t="str">
        <f aca="false">IF(1&lt;=DAY(EOMONTH(DATE($E$2,$C$2,1),0)),IF(SUMPRODUCT((DAY(Registres!C$2:C$500)=1)*(MONTH(Registres!C$2:C$500)=$C$2)*(YEAR(Registres!C$2:C$500)=$E$2)*(TEXT(Registres!F$2:F$500,"0")=TEXT($A25,"0")))&gt;0,"✓",""),"")</f>
        <v/>
      </c>
      <c r="E25" s="17" t="str">
        <f aca="false">IF(2&lt;=DAY(EOMONTH(DATE($E$2,$C$2,1),0)),IF(SUMPRODUCT((DAY(Registres!C$2:C$500)=2)*(MONTH(Registres!C$2:C$500)=$C$2)*(YEAR(Registres!C$2:C$500)=$E$2)*(TEXT(Registres!F$2:F$500,"0")=TEXT($A25,"0")))&gt;0,"✓",""),"")</f>
        <v/>
      </c>
      <c r="F25" s="17" t="str">
        <f aca="false">IF(3&lt;=DAY(EOMONTH(DATE($E$2,$C$2,1),0)),IF(SUMPRODUCT((DAY(Registres!C$2:C$500)=3)*(MONTH(Registres!C$2:C$500)=$C$2)*(YEAR(Registres!C$2:C$500)=$E$2)*(TEXT(Registres!F$2:F$500,"0")=TEXT($A25,"0")))&gt;0,"✓",""),"")</f>
        <v/>
      </c>
      <c r="G25" s="17" t="str">
        <f aca="false">IF(4&lt;=DAY(EOMONTH(DATE($E$2,$C$2,1),0)),IF(SUMPRODUCT((DAY(Registres!C$2:C$500)=4)*(MONTH(Registres!C$2:C$500)=$C$2)*(YEAR(Registres!C$2:C$500)=$E$2)*(TEXT(Registres!F$2:F$500,"0")=TEXT($A25,"0")))&gt;0,"✓",""),"")</f>
        <v/>
      </c>
      <c r="H25" s="17" t="str">
        <f aca="false">IF(5&lt;=DAY(EOMONTH(DATE($E$2,$C$2,1),0)),IF(SUMPRODUCT((DAY(Registres!C$2:C$500)=5)*(MONTH(Registres!C$2:C$500)=$C$2)*(YEAR(Registres!C$2:C$500)=$E$2)*(TEXT(Registres!F$2:F$500,"0")=TEXT($A25,"0")))&gt;0,"✓",""),"")</f>
        <v/>
      </c>
      <c r="I25" s="17" t="str">
        <f aca="false">IF(6&lt;=DAY(EOMONTH(DATE($E$2,$C$2,1),0)),IF(SUMPRODUCT((DAY(Registres!C$2:C$500)=6)*(MONTH(Registres!C$2:C$500)=$C$2)*(YEAR(Registres!C$2:C$500)=$E$2)*(TEXT(Registres!F$2:F$500,"0")=TEXT($A25,"0")))&gt;0,"✓",""),"")</f>
        <v/>
      </c>
      <c r="J25" s="17" t="str">
        <f aca="false">IF(7&lt;=DAY(EOMONTH(DATE($E$2,$C$2,1),0)),IF(SUMPRODUCT((DAY(Registres!C$2:C$500)=7)*(MONTH(Registres!C$2:C$500)=$C$2)*(YEAR(Registres!C$2:C$500)=$E$2)*(TEXT(Registres!F$2:F$500,"0")=TEXT($A25,"0")))&gt;0,"✓",""),"")</f>
        <v/>
      </c>
      <c r="K25" s="17" t="str">
        <f aca="false">IF(8&lt;=DAY(EOMONTH(DATE($E$2,$C$2,1),0)),IF(SUMPRODUCT((DAY(Registres!C$2:C$500)=8)*(MONTH(Registres!C$2:C$500)=$C$2)*(YEAR(Registres!C$2:C$500)=$E$2)*(TEXT(Registres!F$2:F$500,"0")=TEXT($A25,"0")))&gt;0,"✓",""),"")</f>
        <v/>
      </c>
      <c r="L25" s="17" t="str">
        <f aca="false">IF(9&lt;=DAY(EOMONTH(DATE($E$2,$C$2,1),0)),IF(SUMPRODUCT((DAY(Registres!C$2:C$500)=9)*(MONTH(Registres!C$2:C$500)=$C$2)*(YEAR(Registres!C$2:C$500)=$E$2)*(TEXT(Registres!F$2:F$500,"0")=TEXT($A25,"0")))&gt;0,"✓",""),"")</f>
        <v/>
      </c>
      <c r="M25" s="17" t="str">
        <f aca="false">IF(10&lt;=DAY(EOMONTH(DATE($E$2,$C$2,1),0)),IF(SUMPRODUCT((DAY(Registres!C$2:C$500)=10)*(MONTH(Registres!C$2:C$500)=$C$2)*(YEAR(Registres!C$2:C$500)=$E$2)*(TEXT(Registres!F$2:F$500,"0")=TEXT($A25,"0")))&gt;0,"✓",""),"")</f>
        <v/>
      </c>
      <c r="N25" s="17" t="str">
        <f aca="false">IF(11&lt;=DAY(EOMONTH(DATE($E$2,$C$2,1),0)),IF(SUMPRODUCT((DAY(Registres!C$2:C$500)=11)*(MONTH(Registres!C$2:C$500)=$C$2)*(YEAR(Registres!C$2:C$500)=$E$2)*(TEXT(Registres!F$2:F$500,"0")=TEXT($A25,"0")))&gt;0,"✓",""),"")</f>
        <v/>
      </c>
      <c r="O25" s="17" t="str">
        <f aca="false">IF(12&lt;=DAY(EOMONTH(DATE($E$2,$C$2,1),0)),IF(SUMPRODUCT((DAY(Registres!C$2:C$500)=12)*(MONTH(Registres!C$2:C$500)=$C$2)*(YEAR(Registres!C$2:C$500)=$E$2)*(TEXT(Registres!F$2:F$500,"0")=TEXT($A25,"0")))&gt;0,"✓",""),"")</f>
        <v/>
      </c>
      <c r="P25" s="17" t="str">
        <f aca="false">IF(13&lt;=DAY(EOMONTH(DATE($E$2,$C$2,1),0)),IF(SUMPRODUCT((DAY(Registres!C$2:C$500)=13)*(MONTH(Registres!C$2:C$500)=$C$2)*(YEAR(Registres!C$2:C$500)=$E$2)*(TEXT(Registres!F$2:F$500,"0")=TEXT($A25,"0")))&gt;0,"✓",""),"")</f>
        <v/>
      </c>
      <c r="Q25" s="17" t="str">
        <f aca="false">IF(14&lt;=DAY(EOMONTH(DATE($E$2,$C$2,1),0)),IF(SUMPRODUCT((DAY(Registres!C$2:C$500)=14)*(MONTH(Registres!C$2:C$500)=$C$2)*(YEAR(Registres!C$2:C$500)=$E$2)*(TEXT(Registres!F$2:F$500,"0")=TEXT($A25,"0")))&gt;0,"✓",""),"")</f>
        <v/>
      </c>
      <c r="R25" s="17" t="str">
        <f aca="false">IF(15&lt;=DAY(EOMONTH(DATE($E$2,$C$2,1),0)),IF(SUMPRODUCT((DAY(Registres!C$2:C$500)=15)*(MONTH(Registres!C$2:C$500)=$C$2)*(YEAR(Registres!C$2:C$500)=$E$2)*(TEXT(Registres!F$2:F$500,"0")=TEXT($A25,"0")))&gt;0,"✓",""),"")</f>
        <v/>
      </c>
      <c r="S25" s="17" t="str">
        <f aca="false">IF(16&lt;=DAY(EOMONTH(DATE($E$2,$C$2,1),0)),IF(SUMPRODUCT((DAY(Registres!C$2:C$500)=16)*(MONTH(Registres!C$2:C$500)=$C$2)*(YEAR(Registres!C$2:C$500)=$E$2)*(TEXT(Registres!F$2:F$500,"0")=TEXT($A25,"0")))&gt;0,"✓",""),"")</f>
        <v/>
      </c>
      <c r="T25" s="17" t="str">
        <f aca="false">IF(17&lt;=DAY(EOMONTH(DATE($E$2,$C$2,1),0)),IF(SUMPRODUCT((DAY(Registres!C$2:C$500)=17)*(MONTH(Registres!C$2:C$500)=$C$2)*(YEAR(Registres!C$2:C$500)=$E$2)*(TEXT(Registres!F$2:F$500,"0")=TEXT($A25,"0")))&gt;0,"✓",""),"")</f>
        <v/>
      </c>
      <c r="U25" s="17" t="str">
        <f aca="false">IF(18&lt;=DAY(EOMONTH(DATE($E$2,$C$2,1),0)),IF(SUMPRODUCT((DAY(Registres!C$2:C$500)=18)*(MONTH(Registres!C$2:C$500)=$C$2)*(YEAR(Registres!C$2:C$500)=$E$2)*(TEXT(Registres!F$2:F$500,"0")=TEXT($A25,"0")))&gt;0,"✓",""),"")</f>
        <v/>
      </c>
      <c r="V25" s="17" t="str">
        <f aca="false">IF(19&lt;=DAY(EOMONTH(DATE($E$2,$C$2,1),0)),IF(SUMPRODUCT((DAY(Registres!C$2:C$500)=19)*(MONTH(Registres!C$2:C$500)=$C$2)*(YEAR(Registres!C$2:C$500)=$E$2)*(TEXT(Registres!F$2:F$500,"0")=TEXT($A25,"0")))&gt;0,"✓",""),"")</f>
        <v/>
      </c>
      <c r="W25" s="17" t="str">
        <f aca="false">IF(20&lt;=DAY(EOMONTH(DATE($E$2,$C$2,1),0)),IF(SUMPRODUCT((DAY(Registres!C$2:C$500)=20)*(MONTH(Registres!C$2:C$500)=$C$2)*(YEAR(Registres!C$2:C$500)=$E$2)*(TEXT(Registres!F$2:F$500,"0")=TEXT($A25,"0")))&gt;0,"✓",""),"")</f>
        <v/>
      </c>
      <c r="X25" s="17" t="str">
        <f aca="false">IF(21&lt;=DAY(EOMONTH(DATE($E$2,$C$2,1),0)),IF(SUMPRODUCT((DAY(Registres!C$2:C$500)=21)*(MONTH(Registres!C$2:C$500)=$C$2)*(YEAR(Registres!C$2:C$500)=$E$2)*(TEXT(Registres!F$2:F$500,"0")=TEXT($A25,"0")))&gt;0,"✓",""),"")</f>
        <v/>
      </c>
      <c r="Y25" s="17" t="str">
        <f aca="false">IF(22&lt;=DAY(EOMONTH(DATE($E$2,$C$2,1),0)),IF(SUMPRODUCT((DAY(Registres!C$2:C$500)=22)*(MONTH(Registres!C$2:C$500)=$C$2)*(YEAR(Registres!C$2:C$500)=$E$2)*(TEXT(Registres!F$2:F$500,"0")=TEXT($A25,"0")))&gt;0,"✓",""),"")</f>
        <v/>
      </c>
      <c r="Z25" s="17" t="str">
        <f aca="false">IF(23&lt;=DAY(EOMONTH(DATE($E$2,$C$2,1),0)),IF(SUMPRODUCT((DAY(Registres!C$2:C$500)=23)*(MONTH(Registres!C$2:C$500)=$C$2)*(YEAR(Registres!C$2:C$500)=$E$2)*(TEXT(Registres!F$2:F$500,"0")=TEXT($A25,"0")))&gt;0,"✓",""),"")</f>
        <v/>
      </c>
      <c r="AA25" s="17" t="str">
        <f aca="false">IF(24&lt;=DAY(EOMONTH(DATE($E$2,$C$2,1),0)),IF(SUMPRODUCT((DAY(Registres!C$2:C$500)=24)*(MONTH(Registres!C$2:C$500)=$C$2)*(YEAR(Registres!C$2:C$500)=$E$2)*(TEXT(Registres!F$2:F$500,"0")=TEXT($A25,"0")))&gt;0,"✓",""),"")</f>
        <v/>
      </c>
      <c r="AB25" s="17" t="str">
        <f aca="false">IF(25&lt;=DAY(EOMONTH(DATE($E$2,$C$2,1),0)),IF(SUMPRODUCT((DAY(Registres!C$2:C$500)=25)*(MONTH(Registres!C$2:C$500)=$C$2)*(YEAR(Registres!C$2:C$500)=$E$2)*(TEXT(Registres!F$2:F$500,"0")=TEXT($A25,"0")))&gt;0,"✓",""),"")</f>
        <v/>
      </c>
      <c r="AC25" s="17" t="str">
        <f aca="false">IF(26&lt;=DAY(EOMONTH(DATE($E$2,$C$2,1),0)),IF(SUMPRODUCT((DAY(Registres!C$2:C$500)=26)*(MONTH(Registres!C$2:C$500)=$C$2)*(YEAR(Registres!C$2:C$500)=$E$2)*(TEXT(Registres!F$2:F$500,"0")=TEXT($A25,"0")))&gt;0,"✓",""),"")</f>
        <v/>
      </c>
      <c r="AD25" s="17" t="str">
        <f aca="false">IF(27&lt;=DAY(EOMONTH(DATE($E$2,$C$2,1),0)),IF(SUMPRODUCT((DAY(Registres!C$2:C$500)=27)*(MONTH(Registres!C$2:C$500)=$C$2)*(YEAR(Registres!C$2:C$500)=$E$2)*(TEXT(Registres!F$2:F$500,"0")=TEXT($A25,"0")))&gt;0,"✓",""),"")</f>
        <v/>
      </c>
      <c r="AE25" s="17" t="str">
        <f aca="false">IF(28&lt;=DAY(EOMONTH(DATE($E$2,$C$2,1),0)),IF(SUMPRODUCT((DAY(Registres!C$2:C$500)=28)*(MONTH(Registres!C$2:C$500)=$C$2)*(YEAR(Registres!C$2:C$500)=$E$2)*(TEXT(Registres!F$2:F$500,"0")=TEXT($A25,"0")))&gt;0,"✓",""),"")</f>
        <v/>
      </c>
      <c r="AF25" s="17" t="str">
        <f aca="false">IF(29&lt;=DAY(EOMONTH(DATE($E$2,$C$2,1),0)),IF(SUMPRODUCT((DAY(Registres!C$2:C$500)=29)*(MONTH(Registres!C$2:C$500)=$C$2)*(YEAR(Registres!C$2:C$500)=$E$2)*(TEXT(Registres!F$2:F$500,"0")=TEXT($A25,"0")))&gt;0,"✓",""),"")</f>
        <v/>
      </c>
      <c r="AG25" s="17" t="str">
        <f aca="false">IF(30&lt;=DAY(EOMONTH(DATE($E$2,$C$2,1),0)),IF(SUMPRODUCT((DAY(Registres!C$2:C$500)=30)*(MONTH(Registres!C$2:C$500)=$C$2)*(YEAR(Registres!C$2:C$500)=$E$2)*(TEXT(Registres!F$2:F$500,"0")=TEXT($A25,"0")))&gt;0,"✓",""),"")</f>
        <v/>
      </c>
      <c r="AH25" s="17" t="str">
        <f aca="false">IF(31&lt;=DAY(EOMONTH(DATE($E$2,$C$2,1),0)),IF(SUMPRODUCT((DAY(Registres!C$2:C$500)=31)*(MONTH(Registres!C$2:C$500)=$C$2)*(YEAR(Registres!C$2:C$500)=$E$2)*(TEXT(Registres!F$2:F$500,"0")=TEXT($A25,"0")))&gt;0,"✓",""),"")</f>
        <v/>
      </c>
      <c r="AI25" s="18" t="n">
        <f aca="false">COUNTIF(D25:AH25,"✓")</f>
        <v>0</v>
      </c>
    </row>
    <row r="26" customFormat="false" ht="15" hidden="false" customHeight="false" outlineLevel="0" collapsed="false">
      <c r="A26" s="19" t="n">
        <v>22</v>
      </c>
      <c r="B26" s="20" t="s">
        <v>135</v>
      </c>
      <c r="C26" s="21" t="s">
        <v>136</v>
      </c>
      <c r="D26" s="17" t="str">
        <f aca="false">IF(1&lt;=DAY(EOMONTH(DATE($E$2,$C$2,1),0)),IF(SUMPRODUCT((DAY(Registres!C$2:C$500)=1)*(MONTH(Registres!C$2:C$500)=$C$2)*(YEAR(Registres!C$2:C$500)=$E$2)*(TEXT(Registres!F$2:F$500,"0")=TEXT($A26,"0")))&gt;0,"✓",""),"")</f>
        <v/>
      </c>
      <c r="E26" s="17" t="str">
        <f aca="false">IF(2&lt;=DAY(EOMONTH(DATE($E$2,$C$2,1),0)),IF(SUMPRODUCT((DAY(Registres!C$2:C$500)=2)*(MONTH(Registres!C$2:C$500)=$C$2)*(YEAR(Registres!C$2:C$500)=$E$2)*(TEXT(Registres!F$2:F$500,"0")=TEXT($A26,"0")))&gt;0,"✓",""),"")</f>
        <v/>
      </c>
      <c r="F26" s="17" t="str">
        <f aca="false">IF(3&lt;=DAY(EOMONTH(DATE($E$2,$C$2,1),0)),IF(SUMPRODUCT((DAY(Registres!C$2:C$500)=3)*(MONTH(Registres!C$2:C$500)=$C$2)*(YEAR(Registres!C$2:C$500)=$E$2)*(TEXT(Registres!F$2:F$500,"0")=TEXT($A26,"0")))&gt;0,"✓",""),"")</f>
        <v/>
      </c>
      <c r="G26" s="17" t="str">
        <f aca="false">IF(4&lt;=DAY(EOMONTH(DATE($E$2,$C$2,1),0)),IF(SUMPRODUCT((DAY(Registres!C$2:C$500)=4)*(MONTH(Registres!C$2:C$500)=$C$2)*(YEAR(Registres!C$2:C$500)=$E$2)*(TEXT(Registres!F$2:F$500,"0")=TEXT($A26,"0")))&gt;0,"✓",""),"")</f>
        <v/>
      </c>
      <c r="H26" s="17" t="str">
        <f aca="false">IF(5&lt;=DAY(EOMONTH(DATE($E$2,$C$2,1),0)),IF(SUMPRODUCT((DAY(Registres!C$2:C$500)=5)*(MONTH(Registres!C$2:C$500)=$C$2)*(YEAR(Registres!C$2:C$500)=$E$2)*(TEXT(Registres!F$2:F$500,"0")=TEXT($A26,"0")))&gt;0,"✓",""),"")</f>
        <v/>
      </c>
      <c r="I26" s="17" t="str">
        <f aca="false">IF(6&lt;=DAY(EOMONTH(DATE($E$2,$C$2,1),0)),IF(SUMPRODUCT((DAY(Registres!C$2:C$500)=6)*(MONTH(Registres!C$2:C$500)=$C$2)*(YEAR(Registres!C$2:C$500)=$E$2)*(TEXT(Registres!F$2:F$500,"0")=TEXT($A26,"0")))&gt;0,"✓",""),"")</f>
        <v/>
      </c>
      <c r="J26" s="17" t="str">
        <f aca="false">IF(7&lt;=DAY(EOMONTH(DATE($E$2,$C$2,1),0)),IF(SUMPRODUCT((DAY(Registres!C$2:C$500)=7)*(MONTH(Registres!C$2:C$500)=$C$2)*(YEAR(Registres!C$2:C$500)=$E$2)*(TEXT(Registres!F$2:F$500,"0")=TEXT($A26,"0")))&gt;0,"✓",""),"")</f>
        <v/>
      </c>
      <c r="K26" s="17" t="str">
        <f aca="false">IF(8&lt;=DAY(EOMONTH(DATE($E$2,$C$2,1),0)),IF(SUMPRODUCT((DAY(Registres!C$2:C$500)=8)*(MONTH(Registres!C$2:C$500)=$C$2)*(YEAR(Registres!C$2:C$500)=$E$2)*(TEXT(Registres!F$2:F$500,"0")=TEXT($A26,"0")))&gt;0,"✓",""),"")</f>
        <v/>
      </c>
      <c r="L26" s="17" t="str">
        <f aca="false">IF(9&lt;=DAY(EOMONTH(DATE($E$2,$C$2,1),0)),IF(SUMPRODUCT((DAY(Registres!C$2:C$500)=9)*(MONTH(Registres!C$2:C$500)=$C$2)*(YEAR(Registres!C$2:C$500)=$E$2)*(TEXT(Registres!F$2:F$500,"0")=TEXT($A26,"0")))&gt;0,"✓",""),"")</f>
        <v/>
      </c>
      <c r="M26" s="17" t="str">
        <f aca="false">IF(10&lt;=DAY(EOMONTH(DATE($E$2,$C$2,1),0)),IF(SUMPRODUCT((DAY(Registres!C$2:C$500)=10)*(MONTH(Registres!C$2:C$500)=$C$2)*(YEAR(Registres!C$2:C$500)=$E$2)*(TEXT(Registres!F$2:F$500,"0")=TEXT($A26,"0")))&gt;0,"✓",""),"")</f>
        <v/>
      </c>
      <c r="N26" s="17" t="str">
        <f aca="false">IF(11&lt;=DAY(EOMONTH(DATE($E$2,$C$2,1),0)),IF(SUMPRODUCT((DAY(Registres!C$2:C$500)=11)*(MONTH(Registres!C$2:C$500)=$C$2)*(YEAR(Registres!C$2:C$500)=$E$2)*(TEXT(Registres!F$2:F$500,"0")=TEXT($A26,"0")))&gt;0,"✓",""),"")</f>
        <v/>
      </c>
      <c r="O26" s="17" t="str">
        <f aca="false">IF(12&lt;=DAY(EOMONTH(DATE($E$2,$C$2,1),0)),IF(SUMPRODUCT((DAY(Registres!C$2:C$500)=12)*(MONTH(Registres!C$2:C$500)=$C$2)*(YEAR(Registres!C$2:C$500)=$E$2)*(TEXT(Registres!F$2:F$500,"0")=TEXT($A26,"0")))&gt;0,"✓",""),"")</f>
        <v/>
      </c>
      <c r="P26" s="17" t="str">
        <f aca="false">IF(13&lt;=DAY(EOMONTH(DATE($E$2,$C$2,1),0)),IF(SUMPRODUCT((DAY(Registres!C$2:C$500)=13)*(MONTH(Registres!C$2:C$500)=$C$2)*(YEAR(Registres!C$2:C$500)=$E$2)*(TEXT(Registres!F$2:F$500,"0")=TEXT($A26,"0")))&gt;0,"✓",""),"")</f>
        <v/>
      </c>
      <c r="Q26" s="17" t="str">
        <f aca="false">IF(14&lt;=DAY(EOMONTH(DATE($E$2,$C$2,1),0)),IF(SUMPRODUCT((DAY(Registres!C$2:C$500)=14)*(MONTH(Registres!C$2:C$500)=$C$2)*(YEAR(Registres!C$2:C$500)=$E$2)*(TEXT(Registres!F$2:F$500,"0")=TEXT($A26,"0")))&gt;0,"✓",""),"")</f>
        <v/>
      </c>
      <c r="R26" s="17" t="str">
        <f aca="false">IF(15&lt;=DAY(EOMONTH(DATE($E$2,$C$2,1),0)),IF(SUMPRODUCT((DAY(Registres!C$2:C$500)=15)*(MONTH(Registres!C$2:C$500)=$C$2)*(YEAR(Registres!C$2:C$500)=$E$2)*(TEXT(Registres!F$2:F$500,"0")=TEXT($A26,"0")))&gt;0,"✓",""),"")</f>
        <v/>
      </c>
      <c r="S26" s="17" t="str">
        <f aca="false">IF(16&lt;=DAY(EOMONTH(DATE($E$2,$C$2,1),0)),IF(SUMPRODUCT((DAY(Registres!C$2:C$500)=16)*(MONTH(Registres!C$2:C$500)=$C$2)*(YEAR(Registres!C$2:C$500)=$E$2)*(TEXT(Registres!F$2:F$500,"0")=TEXT($A26,"0")))&gt;0,"✓",""),"")</f>
        <v/>
      </c>
      <c r="T26" s="17" t="str">
        <f aca="false">IF(17&lt;=DAY(EOMONTH(DATE($E$2,$C$2,1),0)),IF(SUMPRODUCT((DAY(Registres!C$2:C$500)=17)*(MONTH(Registres!C$2:C$500)=$C$2)*(YEAR(Registres!C$2:C$500)=$E$2)*(TEXT(Registres!F$2:F$500,"0")=TEXT($A26,"0")))&gt;0,"✓",""),"")</f>
        <v/>
      </c>
      <c r="U26" s="17" t="str">
        <f aca="false">IF(18&lt;=DAY(EOMONTH(DATE($E$2,$C$2,1),0)),IF(SUMPRODUCT((DAY(Registres!C$2:C$500)=18)*(MONTH(Registres!C$2:C$500)=$C$2)*(YEAR(Registres!C$2:C$500)=$E$2)*(TEXT(Registres!F$2:F$500,"0")=TEXT($A26,"0")))&gt;0,"✓",""),"")</f>
        <v/>
      </c>
      <c r="V26" s="17" t="str">
        <f aca="false">IF(19&lt;=DAY(EOMONTH(DATE($E$2,$C$2,1),0)),IF(SUMPRODUCT((DAY(Registres!C$2:C$500)=19)*(MONTH(Registres!C$2:C$500)=$C$2)*(YEAR(Registres!C$2:C$500)=$E$2)*(TEXT(Registres!F$2:F$500,"0")=TEXT($A26,"0")))&gt;0,"✓",""),"")</f>
        <v/>
      </c>
      <c r="W26" s="17" t="str">
        <f aca="false">IF(20&lt;=DAY(EOMONTH(DATE($E$2,$C$2,1),0)),IF(SUMPRODUCT((DAY(Registres!C$2:C$500)=20)*(MONTH(Registres!C$2:C$500)=$C$2)*(YEAR(Registres!C$2:C$500)=$E$2)*(TEXT(Registres!F$2:F$500,"0")=TEXT($A26,"0")))&gt;0,"✓",""),"")</f>
        <v/>
      </c>
      <c r="X26" s="17" t="str">
        <f aca="false">IF(21&lt;=DAY(EOMONTH(DATE($E$2,$C$2,1),0)),IF(SUMPRODUCT((DAY(Registres!C$2:C$500)=21)*(MONTH(Registres!C$2:C$500)=$C$2)*(YEAR(Registres!C$2:C$500)=$E$2)*(TEXT(Registres!F$2:F$500,"0")=TEXT($A26,"0")))&gt;0,"✓",""),"")</f>
        <v/>
      </c>
      <c r="Y26" s="17" t="str">
        <f aca="false">IF(22&lt;=DAY(EOMONTH(DATE($E$2,$C$2,1),0)),IF(SUMPRODUCT((DAY(Registres!C$2:C$500)=22)*(MONTH(Registres!C$2:C$500)=$C$2)*(YEAR(Registres!C$2:C$500)=$E$2)*(TEXT(Registres!F$2:F$500,"0")=TEXT($A26,"0")))&gt;0,"✓",""),"")</f>
        <v/>
      </c>
      <c r="Z26" s="17" t="str">
        <f aca="false">IF(23&lt;=DAY(EOMONTH(DATE($E$2,$C$2,1),0)),IF(SUMPRODUCT((DAY(Registres!C$2:C$500)=23)*(MONTH(Registres!C$2:C$500)=$C$2)*(YEAR(Registres!C$2:C$500)=$E$2)*(TEXT(Registres!F$2:F$500,"0")=TEXT($A26,"0")))&gt;0,"✓",""),"")</f>
        <v/>
      </c>
      <c r="AA26" s="17" t="str">
        <f aca="false">IF(24&lt;=DAY(EOMONTH(DATE($E$2,$C$2,1),0)),IF(SUMPRODUCT((DAY(Registres!C$2:C$500)=24)*(MONTH(Registres!C$2:C$500)=$C$2)*(YEAR(Registres!C$2:C$500)=$E$2)*(TEXT(Registres!F$2:F$500,"0")=TEXT($A26,"0")))&gt;0,"✓",""),"")</f>
        <v/>
      </c>
      <c r="AB26" s="17" t="str">
        <f aca="false">IF(25&lt;=DAY(EOMONTH(DATE($E$2,$C$2,1),0)),IF(SUMPRODUCT((DAY(Registres!C$2:C$500)=25)*(MONTH(Registres!C$2:C$500)=$C$2)*(YEAR(Registres!C$2:C$500)=$E$2)*(TEXT(Registres!F$2:F$500,"0")=TEXT($A26,"0")))&gt;0,"✓",""),"")</f>
        <v/>
      </c>
      <c r="AC26" s="17" t="str">
        <f aca="false">IF(26&lt;=DAY(EOMONTH(DATE($E$2,$C$2,1),0)),IF(SUMPRODUCT((DAY(Registres!C$2:C$500)=26)*(MONTH(Registres!C$2:C$500)=$C$2)*(YEAR(Registres!C$2:C$500)=$E$2)*(TEXT(Registres!F$2:F$500,"0")=TEXT($A26,"0")))&gt;0,"✓",""),"")</f>
        <v/>
      </c>
      <c r="AD26" s="17" t="str">
        <f aca="false">IF(27&lt;=DAY(EOMONTH(DATE($E$2,$C$2,1),0)),IF(SUMPRODUCT((DAY(Registres!C$2:C$500)=27)*(MONTH(Registres!C$2:C$500)=$C$2)*(YEAR(Registres!C$2:C$500)=$E$2)*(TEXT(Registres!F$2:F$500,"0")=TEXT($A26,"0")))&gt;0,"✓",""),"")</f>
        <v/>
      </c>
      <c r="AE26" s="17" t="str">
        <f aca="false">IF(28&lt;=DAY(EOMONTH(DATE($E$2,$C$2,1),0)),IF(SUMPRODUCT((DAY(Registres!C$2:C$500)=28)*(MONTH(Registres!C$2:C$500)=$C$2)*(YEAR(Registres!C$2:C$500)=$E$2)*(TEXT(Registres!F$2:F$500,"0")=TEXT($A26,"0")))&gt;0,"✓",""),"")</f>
        <v/>
      </c>
      <c r="AF26" s="17" t="str">
        <f aca="false">IF(29&lt;=DAY(EOMONTH(DATE($E$2,$C$2,1),0)),IF(SUMPRODUCT((DAY(Registres!C$2:C$500)=29)*(MONTH(Registres!C$2:C$500)=$C$2)*(YEAR(Registres!C$2:C$500)=$E$2)*(TEXT(Registres!F$2:F$500,"0")=TEXT($A26,"0")))&gt;0,"✓",""),"")</f>
        <v/>
      </c>
      <c r="AG26" s="17" t="str">
        <f aca="false">IF(30&lt;=DAY(EOMONTH(DATE($E$2,$C$2,1),0)),IF(SUMPRODUCT((DAY(Registres!C$2:C$500)=30)*(MONTH(Registres!C$2:C$500)=$C$2)*(YEAR(Registres!C$2:C$500)=$E$2)*(TEXT(Registres!F$2:F$500,"0")=TEXT($A26,"0")))&gt;0,"✓",""),"")</f>
        <v/>
      </c>
      <c r="AH26" s="17" t="str">
        <f aca="false">IF(31&lt;=DAY(EOMONTH(DATE($E$2,$C$2,1),0)),IF(SUMPRODUCT((DAY(Registres!C$2:C$500)=31)*(MONTH(Registres!C$2:C$500)=$C$2)*(YEAR(Registres!C$2:C$500)=$E$2)*(TEXT(Registres!F$2:F$500,"0")=TEXT($A26,"0")))&gt;0,"✓",""),"")</f>
        <v/>
      </c>
      <c r="AI26" s="18" t="n">
        <f aca="false">COUNTIF(D26:AH26,"✓")</f>
        <v>0</v>
      </c>
    </row>
    <row r="27" customFormat="false" ht="15" hidden="false" customHeight="false" outlineLevel="0" collapsed="false">
      <c r="A27" s="14" t="n">
        <v>23</v>
      </c>
      <c r="B27" s="15" t="s">
        <v>137</v>
      </c>
      <c r="C27" s="16" t="s">
        <v>136</v>
      </c>
      <c r="D27" s="17" t="str">
        <f aca="false">IF(1&lt;=DAY(EOMONTH(DATE($E$2,$C$2,1),0)),IF(SUMPRODUCT((DAY(Registres!C$2:C$500)=1)*(MONTH(Registres!C$2:C$500)=$C$2)*(YEAR(Registres!C$2:C$500)=$E$2)*(TEXT(Registres!F$2:F$500,"0")=TEXT($A27,"0")))&gt;0,"✓",""),"")</f>
        <v/>
      </c>
      <c r="E27" s="17" t="str">
        <f aca="false">IF(2&lt;=DAY(EOMONTH(DATE($E$2,$C$2,1),0)),IF(SUMPRODUCT((DAY(Registres!C$2:C$500)=2)*(MONTH(Registres!C$2:C$500)=$C$2)*(YEAR(Registres!C$2:C$500)=$E$2)*(TEXT(Registres!F$2:F$500,"0")=TEXT($A27,"0")))&gt;0,"✓",""),"")</f>
        <v/>
      </c>
      <c r="F27" s="17" t="str">
        <f aca="false">IF(3&lt;=DAY(EOMONTH(DATE($E$2,$C$2,1),0)),IF(SUMPRODUCT((DAY(Registres!C$2:C$500)=3)*(MONTH(Registres!C$2:C$500)=$C$2)*(YEAR(Registres!C$2:C$500)=$E$2)*(TEXT(Registres!F$2:F$500,"0")=TEXT($A27,"0")))&gt;0,"✓",""),"")</f>
        <v/>
      </c>
      <c r="G27" s="17" t="str">
        <f aca="false">IF(4&lt;=DAY(EOMONTH(DATE($E$2,$C$2,1),0)),IF(SUMPRODUCT((DAY(Registres!C$2:C$500)=4)*(MONTH(Registres!C$2:C$500)=$C$2)*(YEAR(Registres!C$2:C$500)=$E$2)*(TEXT(Registres!F$2:F$500,"0")=TEXT($A27,"0")))&gt;0,"✓",""),"")</f>
        <v/>
      </c>
      <c r="H27" s="17" t="str">
        <f aca="false">IF(5&lt;=DAY(EOMONTH(DATE($E$2,$C$2,1),0)),IF(SUMPRODUCT((DAY(Registres!C$2:C$500)=5)*(MONTH(Registres!C$2:C$500)=$C$2)*(YEAR(Registres!C$2:C$500)=$E$2)*(TEXT(Registres!F$2:F$500,"0")=TEXT($A27,"0")))&gt;0,"✓",""),"")</f>
        <v/>
      </c>
      <c r="I27" s="17" t="str">
        <f aca="false">IF(6&lt;=DAY(EOMONTH(DATE($E$2,$C$2,1),0)),IF(SUMPRODUCT((DAY(Registres!C$2:C$500)=6)*(MONTH(Registres!C$2:C$500)=$C$2)*(YEAR(Registres!C$2:C$500)=$E$2)*(TEXT(Registres!F$2:F$500,"0")=TEXT($A27,"0")))&gt;0,"✓",""),"")</f>
        <v/>
      </c>
      <c r="J27" s="17" t="str">
        <f aca="false">IF(7&lt;=DAY(EOMONTH(DATE($E$2,$C$2,1),0)),IF(SUMPRODUCT((DAY(Registres!C$2:C$500)=7)*(MONTH(Registres!C$2:C$500)=$C$2)*(YEAR(Registres!C$2:C$500)=$E$2)*(TEXT(Registres!F$2:F$500,"0")=TEXT($A27,"0")))&gt;0,"✓",""),"")</f>
        <v/>
      </c>
      <c r="K27" s="17" t="str">
        <f aca="false">IF(8&lt;=DAY(EOMONTH(DATE($E$2,$C$2,1),0)),IF(SUMPRODUCT((DAY(Registres!C$2:C$500)=8)*(MONTH(Registres!C$2:C$500)=$C$2)*(YEAR(Registres!C$2:C$500)=$E$2)*(TEXT(Registres!F$2:F$500,"0")=TEXT($A27,"0")))&gt;0,"✓",""),"")</f>
        <v/>
      </c>
      <c r="L27" s="17" t="str">
        <f aca="false">IF(9&lt;=DAY(EOMONTH(DATE($E$2,$C$2,1),0)),IF(SUMPRODUCT((DAY(Registres!C$2:C$500)=9)*(MONTH(Registres!C$2:C$500)=$C$2)*(YEAR(Registres!C$2:C$500)=$E$2)*(TEXT(Registres!F$2:F$500,"0")=TEXT($A27,"0")))&gt;0,"✓",""),"")</f>
        <v/>
      </c>
      <c r="M27" s="17" t="str">
        <f aca="false">IF(10&lt;=DAY(EOMONTH(DATE($E$2,$C$2,1),0)),IF(SUMPRODUCT((DAY(Registres!C$2:C$500)=10)*(MONTH(Registres!C$2:C$500)=$C$2)*(YEAR(Registres!C$2:C$500)=$E$2)*(TEXT(Registres!F$2:F$500,"0")=TEXT($A27,"0")))&gt;0,"✓",""),"")</f>
        <v/>
      </c>
      <c r="N27" s="17" t="str">
        <f aca="false">IF(11&lt;=DAY(EOMONTH(DATE($E$2,$C$2,1),0)),IF(SUMPRODUCT((DAY(Registres!C$2:C$500)=11)*(MONTH(Registres!C$2:C$500)=$C$2)*(YEAR(Registres!C$2:C$500)=$E$2)*(TEXT(Registres!F$2:F$500,"0")=TEXT($A27,"0")))&gt;0,"✓",""),"")</f>
        <v/>
      </c>
      <c r="O27" s="17" t="str">
        <f aca="false">IF(12&lt;=DAY(EOMONTH(DATE($E$2,$C$2,1),0)),IF(SUMPRODUCT((DAY(Registres!C$2:C$500)=12)*(MONTH(Registres!C$2:C$500)=$C$2)*(YEAR(Registres!C$2:C$500)=$E$2)*(TEXT(Registres!F$2:F$500,"0")=TEXT($A27,"0")))&gt;0,"✓",""),"")</f>
        <v/>
      </c>
      <c r="P27" s="17" t="str">
        <f aca="false">IF(13&lt;=DAY(EOMONTH(DATE($E$2,$C$2,1),0)),IF(SUMPRODUCT((DAY(Registres!C$2:C$500)=13)*(MONTH(Registres!C$2:C$500)=$C$2)*(YEAR(Registres!C$2:C$500)=$E$2)*(TEXT(Registres!F$2:F$500,"0")=TEXT($A27,"0")))&gt;0,"✓",""),"")</f>
        <v/>
      </c>
      <c r="Q27" s="17" t="str">
        <f aca="false">IF(14&lt;=DAY(EOMONTH(DATE($E$2,$C$2,1),0)),IF(SUMPRODUCT((DAY(Registres!C$2:C$500)=14)*(MONTH(Registres!C$2:C$500)=$C$2)*(YEAR(Registres!C$2:C$500)=$E$2)*(TEXT(Registres!F$2:F$500,"0")=TEXT($A27,"0")))&gt;0,"✓",""),"")</f>
        <v/>
      </c>
      <c r="R27" s="17" t="str">
        <f aca="false">IF(15&lt;=DAY(EOMONTH(DATE($E$2,$C$2,1),0)),IF(SUMPRODUCT((DAY(Registres!C$2:C$500)=15)*(MONTH(Registres!C$2:C$500)=$C$2)*(YEAR(Registres!C$2:C$500)=$E$2)*(TEXT(Registres!F$2:F$500,"0")=TEXT($A27,"0")))&gt;0,"✓",""),"")</f>
        <v/>
      </c>
      <c r="S27" s="17" t="str">
        <f aca="false">IF(16&lt;=DAY(EOMONTH(DATE($E$2,$C$2,1),0)),IF(SUMPRODUCT((DAY(Registres!C$2:C$500)=16)*(MONTH(Registres!C$2:C$500)=$C$2)*(YEAR(Registres!C$2:C$500)=$E$2)*(TEXT(Registres!F$2:F$500,"0")=TEXT($A27,"0")))&gt;0,"✓",""),"")</f>
        <v/>
      </c>
      <c r="T27" s="17" t="str">
        <f aca="false">IF(17&lt;=DAY(EOMONTH(DATE($E$2,$C$2,1),0)),IF(SUMPRODUCT((DAY(Registres!C$2:C$500)=17)*(MONTH(Registres!C$2:C$500)=$C$2)*(YEAR(Registres!C$2:C$500)=$E$2)*(TEXT(Registres!F$2:F$500,"0")=TEXT($A27,"0")))&gt;0,"✓",""),"")</f>
        <v/>
      </c>
      <c r="U27" s="17" t="str">
        <f aca="false">IF(18&lt;=DAY(EOMONTH(DATE($E$2,$C$2,1),0)),IF(SUMPRODUCT((DAY(Registres!C$2:C$500)=18)*(MONTH(Registres!C$2:C$500)=$C$2)*(YEAR(Registres!C$2:C$500)=$E$2)*(TEXT(Registres!F$2:F$500,"0")=TEXT($A27,"0")))&gt;0,"✓",""),"")</f>
        <v/>
      </c>
      <c r="V27" s="17" t="str">
        <f aca="false">IF(19&lt;=DAY(EOMONTH(DATE($E$2,$C$2,1),0)),IF(SUMPRODUCT((DAY(Registres!C$2:C$500)=19)*(MONTH(Registres!C$2:C$500)=$C$2)*(YEAR(Registres!C$2:C$500)=$E$2)*(TEXT(Registres!F$2:F$500,"0")=TEXT($A27,"0")))&gt;0,"✓",""),"")</f>
        <v/>
      </c>
      <c r="W27" s="17" t="str">
        <f aca="false">IF(20&lt;=DAY(EOMONTH(DATE($E$2,$C$2,1),0)),IF(SUMPRODUCT((DAY(Registres!C$2:C$500)=20)*(MONTH(Registres!C$2:C$500)=$C$2)*(YEAR(Registres!C$2:C$500)=$E$2)*(TEXT(Registres!F$2:F$500,"0")=TEXT($A27,"0")))&gt;0,"✓",""),"")</f>
        <v/>
      </c>
      <c r="X27" s="17" t="str">
        <f aca="false">IF(21&lt;=DAY(EOMONTH(DATE($E$2,$C$2,1),0)),IF(SUMPRODUCT((DAY(Registres!C$2:C$500)=21)*(MONTH(Registres!C$2:C$500)=$C$2)*(YEAR(Registres!C$2:C$500)=$E$2)*(TEXT(Registres!F$2:F$500,"0")=TEXT($A27,"0")))&gt;0,"✓",""),"")</f>
        <v/>
      </c>
      <c r="Y27" s="17" t="str">
        <f aca="false">IF(22&lt;=DAY(EOMONTH(DATE($E$2,$C$2,1),0)),IF(SUMPRODUCT((DAY(Registres!C$2:C$500)=22)*(MONTH(Registres!C$2:C$500)=$C$2)*(YEAR(Registres!C$2:C$500)=$E$2)*(TEXT(Registres!F$2:F$500,"0")=TEXT($A27,"0")))&gt;0,"✓",""),"")</f>
        <v/>
      </c>
      <c r="Z27" s="17" t="str">
        <f aca="false">IF(23&lt;=DAY(EOMONTH(DATE($E$2,$C$2,1),0)),IF(SUMPRODUCT((DAY(Registres!C$2:C$500)=23)*(MONTH(Registres!C$2:C$500)=$C$2)*(YEAR(Registres!C$2:C$500)=$E$2)*(TEXT(Registres!F$2:F$500,"0")=TEXT($A27,"0")))&gt;0,"✓",""),"")</f>
        <v/>
      </c>
      <c r="AA27" s="17" t="str">
        <f aca="false">IF(24&lt;=DAY(EOMONTH(DATE($E$2,$C$2,1),0)),IF(SUMPRODUCT((DAY(Registres!C$2:C$500)=24)*(MONTH(Registres!C$2:C$500)=$C$2)*(YEAR(Registres!C$2:C$500)=$E$2)*(TEXT(Registres!F$2:F$500,"0")=TEXT($A27,"0")))&gt;0,"✓",""),"")</f>
        <v/>
      </c>
      <c r="AB27" s="17" t="str">
        <f aca="false">IF(25&lt;=DAY(EOMONTH(DATE($E$2,$C$2,1),0)),IF(SUMPRODUCT((DAY(Registres!C$2:C$500)=25)*(MONTH(Registres!C$2:C$500)=$C$2)*(YEAR(Registres!C$2:C$500)=$E$2)*(TEXT(Registres!F$2:F$500,"0")=TEXT($A27,"0")))&gt;0,"✓",""),"")</f>
        <v/>
      </c>
      <c r="AC27" s="17" t="str">
        <f aca="false">IF(26&lt;=DAY(EOMONTH(DATE($E$2,$C$2,1),0)),IF(SUMPRODUCT((DAY(Registres!C$2:C$500)=26)*(MONTH(Registres!C$2:C$500)=$C$2)*(YEAR(Registres!C$2:C$500)=$E$2)*(TEXT(Registres!F$2:F$500,"0")=TEXT($A27,"0")))&gt;0,"✓",""),"")</f>
        <v/>
      </c>
      <c r="AD27" s="17" t="str">
        <f aca="false">IF(27&lt;=DAY(EOMONTH(DATE($E$2,$C$2,1),0)),IF(SUMPRODUCT((DAY(Registres!C$2:C$500)=27)*(MONTH(Registres!C$2:C$500)=$C$2)*(YEAR(Registres!C$2:C$500)=$E$2)*(TEXT(Registres!F$2:F$500,"0")=TEXT($A27,"0")))&gt;0,"✓",""),"")</f>
        <v/>
      </c>
      <c r="AE27" s="17" t="str">
        <f aca="false">IF(28&lt;=DAY(EOMONTH(DATE($E$2,$C$2,1),0)),IF(SUMPRODUCT((DAY(Registres!C$2:C$500)=28)*(MONTH(Registres!C$2:C$500)=$C$2)*(YEAR(Registres!C$2:C$500)=$E$2)*(TEXT(Registres!F$2:F$500,"0")=TEXT($A27,"0")))&gt;0,"✓",""),"")</f>
        <v/>
      </c>
      <c r="AF27" s="17" t="str">
        <f aca="false">IF(29&lt;=DAY(EOMONTH(DATE($E$2,$C$2,1),0)),IF(SUMPRODUCT((DAY(Registres!C$2:C$500)=29)*(MONTH(Registres!C$2:C$500)=$C$2)*(YEAR(Registres!C$2:C$500)=$E$2)*(TEXT(Registres!F$2:F$500,"0")=TEXT($A27,"0")))&gt;0,"✓",""),"")</f>
        <v/>
      </c>
      <c r="AG27" s="17" t="str">
        <f aca="false">IF(30&lt;=DAY(EOMONTH(DATE($E$2,$C$2,1),0)),IF(SUMPRODUCT((DAY(Registres!C$2:C$500)=30)*(MONTH(Registres!C$2:C$500)=$C$2)*(YEAR(Registres!C$2:C$500)=$E$2)*(TEXT(Registres!F$2:F$500,"0")=TEXT($A27,"0")))&gt;0,"✓",""),"")</f>
        <v/>
      </c>
      <c r="AH27" s="17" t="str">
        <f aca="false">IF(31&lt;=DAY(EOMONTH(DATE($E$2,$C$2,1),0)),IF(SUMPRODUCT((DAY(Registres!C$2:C$500)=31)*(MONTH(Registres!C$2:C$500)=$C$2)*(YEAR(Registres!C$2:C$500)=$E$2)*(TEXT(Registres!F$2:F$500,"0")=TEXT($A27,"0")))&gt;0,"✓",""),"")</f>
        <v/>
      </c>
      <c r="AI27" s="18" t="n">
        <f aca="false">COUNTIF(D27:AH27,"✓")</f>
        <v>0</v>
      </c>
    </row>
    <row r="28" customFormat="false" ht="15" hidden="false" customHeight="false" outlineLevel="0" collapsed="false">
      <c r="A28" s="19" t="n">
        <v>24</v>
      </c>
      <c r="B28" s="20" t="s">
        <v>138</v>
      </c>
      <c r="C28" s="21" t="s">
        <v>136</v>
      </c>
      <c r="D28" s="17" t="str">
        <f aca="false">IF(1&lt;=DAY(EOMONTH(DATE($E$2,$C$2,1),0)),IF(SUMPRODUCT((DAY(Registres!C$2:C$500)=1)*(MONTH(Registres!C$2:C$500)=$C$2)*(YEAR(Registres!C$2:C$500)=$E$2)*(TEXT(Registres!F$2:F$500,"0")=TEXT($A28,"0")))&gt;0,"✓",""),"")</f>
        <v/>
      </c>
      <c r="E28" s="17" t="str">
        <f aca="false">IF(2&lt;=DAY(EOMONTH(DATE($E$2,$C$2,1),0)),IF(SUMPRODUCT((DAY(Registres!C$2:C$500)=2)*(MONTH(Registres!C$2:C$500)=$C$2)*(YEAR(Registres!C$2:C$500)=$E$2)*(TEXT(Registres!F$2:F$500,"0")=TEXT($A28,"0")))&gt;0,"✓",""),"")</f>
        <v/>
      </c>
      <c r="F28" s="17" t="str">
        <f aca="false">IF(3&lt;=DAY(EOMONTH(DATE($E$2,$C$2,1),0)),IF(SUMPRODUCT((DAY(Registres!C$2:C$500)=3)*(MONTH(Registres!C$2:C$500)=$C$2)*(YEAR(Registres!C$2:C$500)=$E$2)*(TEXT(Registres!F$2:F$500,"0")=TEXT($A28,"0")))&gt;0,"✓",""),"")</f>
        <v/>
      </c>
      <c r="G28" s="17" t="str">
        <f aca="false">IF(4&lt;=DAY(EOMONTH(DATE($E$2,$C$2,1),0)),IF(SUMPRODUCT((DAY(Registres!C$2:C$500)=4)*(MONTH(Registres!C$2:C$500)=$C$2)*(YEAR(Registres!C$2:C$500)=$E$2)*(TEXT(Registres!F$2:F$500,"0")=TEXT($A28,"0")))&gt;0,"✓",""),"")</f>
        <v/>
      </c>
      <c r="H28" s="17" t="str">
        <f aca="false">IF(5&lt;=DAY(EOMONTH(DATE($E$2,$C$2,1),0)),IF(SUMPRODUCT((DAY(Registres!C$2:C$500)=5)*(MONTH(Registres!C$2:C$500)=$C$2)*(YEAR(Registres!C$2:C$500)=$E$2)*(TEXT(Registres!F$2:F$500,"0")=TEXT($A28,"0")))&gt;0,"✓",""),"")</f>
        <v/>
      </c>
      <c r="I28" s="17" t="str">
        <f aca="false">IF(6&lt;=DAY(EOMONTH(DATE($E$2,$C$2,1),0)),IF(SUMPRODUCT((DAY(Registres!C$2:C$500)=6)*(MONTH(Registres!C$2:C$500)=$C$2)*(YEAR(Registres!C$2:C$500)=$E$2)*(TEXT(Registres!F$2:F$500,"0")=TEXT($A28,"0")))&gt;0,"✓",""),"")</f>
        <v/>
      </c>
      <c r="J28" s="17" t="str">
        <f aca="false">IF(7&lt;=DAY(EOMONTH(DATE($E$2,$C$2,1),0)),IF(SUMPRODUCT((DAY(Registres!C$2:C$500)=7)*(MONTH(Registres!C$2:C$500)=$C$2)*(YEAR(Registres!C$2:C$500)=$E$2)*(TEXT(Registres!F$2:F$500,"0")=TEXT($A28,"0")))&gt;0,"✓",""),"")</f>
        <v/>
      </c>
      <c r="K28" s="17" t="str">
        <f aca="false">IF(8&lt;=DAY(EOMONTH(DATE($E$2,$C$2,1),0)),IF(SUMPRODUCT((DAY(Registres!C$2:C$500)=8)*(MONTH(Registres!C$2:C$500)=$C$2)*(YEAR(Registres!C$2:C$500)=$E$2)*(TEXT(Registres!F$2:F$500,"0")=TEXT($A28,"0")))&gt;0,"✓",""),"")</f>
        <v/>
      </c>
      <c r="L28" s="17" t="str">
        <f aca="false">IF(9&lt;=DAY(EOMONTH(DATE($E$2,$C$2,1),0)),IF(SUMPRODUCT((DAY(Registres!C$2:C$500)=9)*(MONTH(Registres!C$2:C$500)=$C$2)*(YEAR(Registres!C$2:C$500)=$E$2)*(TEXT(Registres!F$2:F$500,"0")=TEXT($A28,"0")))&gt;0,"✓",""),"")</f>
        <v/>
      </c>
      <c r="M28" s="17" t="str">
        <f aca="false">IF(10&lt;=DAY(EOMONTH(DATE($E$2,$C$2,1),0)),IF(SUMPRODUCT((DAY(Registres!C$2:C$500)=10)*(MONTH(Registres!C$2:C$500)=$C$2)*(YEAR(Registres!C$2:C$500)=$E$2)*(TEXT(Registres!F$2:F$500,"0")=TEXT($A28,"0")))&gt;0,"✓",""),"")</f>
        <v/>
      </c>
      <c r="N28" s="17" t="str">
        <f aca="false">IF(11&lt;=DAY(EOMONTH(DATE($E$2,$C$2,1),0)),IF(SUMPRODUCT((DAY(Registres!C$2:C$500)=11)*(MONTH(Registres!C$2:C$500)=$C$2)*(YEAR(Registres!C$2:C$500)=$E$2)*(TEXT(Registres!F$2:F$500,"0")=TEXT($A28,"0")))&gt;0,"✓",""),"")</f>
        <v/>
      </c>
      <c r="O28" s="17" t="str">
        <f aca="false">IF(12&lt;=DAY(EOMONTH(DATE($E$2,$C$2,1),0)),IF(SUMPRODUCT((DAY(Registres!C$2:C$500)=12)*(MONTH(Registres!C$2:C$500)=$C$2)*(YEAR(Registres!C$2:C$500)=$E$2)*(TEXT(Registres!F$2:F$500,"0")=TEXT($A28,"0")))&gt;0,"✓",""),"")</f>
        <v/>
      </c>
      <c r="P28" s="17" t="str">
        <f aca="false">IF(13&lt;=DAY(EOMONTH(DATE($E$2,$C$2,1),0)),IF(SUMPRODUCT((DAY(Registres!C$2:C$500)=13)*(MONTH(Registres!C$2:C$500)=$C$2)*(YEAR(Registres!C$2:C$500)=$E$2)*(TEXT(Registres!F$2:F$500,"0")=TEXT($A28,"0")))&gt;0,"✓",""),"")</f>
        <v/>
      </c>
      <c r="Q28" s="17" t="str">
        <f aca="false">IF(14&lt;=DAY(EOMONTH(DATE($E$2,$C$2,1),0)),IF(SUMPRODUCT((DAY(Registres!C$2:C$500)=14)*(MONTH(Registres!C$2:C$500)=$C$2)*(YEAR(Registres!C$2:C$500)=$E$2)*(TEXT(Registres!F$2:F$500,"0")=TEXT($A28,"0")))&gt;0,"✓",""),"")</f>
        <v/>
      </c>
      <c r="R28" s="17" t="str">
        <f aca="false">IF(15&lt;=DAY(EOMONTH(DATE($E$2,$C$2,1),0)),IF(SUMPRODUCT((DAY(Registres!C$2:C$500)=15)*(MONTH(Registres!C$2:C$500)=$C$2)*(YEAR(Registres!C$2:C$500)=$E$2)*(TEXT(Registres!F$2:F$500,"0")=TEXT($A28,"0")))&gt;0,"✓",""),"")</f>
        <v/>
      </c>
      <c r="S28" s="17" t="str">
        <f aca="false">IF(16&lt;=DAY(EOMONTH(DATE($E$2,$C$2,1),0)),IF(SUMPRODUCT((DAY(Registres!C$2:C$500)=16)*(MONTH(Registres!C$2:C$500)=$C$2)*(YEAR(Registres!C$2:C$500)=$E$2)*(TEXT(Registres!F$2:F$500,"0")=TEXT($A28,"0")))&gt;0,"✓",""),"")</f>
        <v/>
      </c>
      <c r="T28" s="17" t="str">
        <f aca="false">IF(17&lt;=DAY(EOMONTH(DATE($E$2,$C$2,1),0)),IF(SUMPRODUCT((DAY(Registres!C$2:C$500)=17)*(MONTH(Registres!C$2:C$500)=$C$2)*(YEAR(Registres!C$2:C$500)=$E$2)*(TEXT(Registres!F$2:F$500,"0")=TEXT($A28,"0")))&gt;0,"✓",""),"")</f>
        <v/>
      </c>
      <c r="U28" s="17" t="str">
        <f aca="false">IF(18&lt;=DAY(EOMONTH(DATE($E$2,$C$2,1),0)),IF(SUMPRODUCT((DAY(Registres!C$2:C$500)=18)*(MONTH(Registres!C$2:C$500)=$C$2)*(YEAR(Registres!C$2:C$500)=$E$2)*(TEXT(Registres!F$2:F$500,"0")=TEXT($A28,"0")))&gt;0,"✓",""),"")</f>
        <v/>
      </c>
      <c r="V28" s="17" t="str">
        <f aca="false">IF(19&lt;=DAY(EOMONTH(DATE($E$2,$C$2,1),0)),IF(SUMPRODUCT((DAY(Registres!C$2:C$500)=19)*(MONTH(Registres!C$2:C$500)=$C$2)*(YEAR(Registres!C$2:C$500)=$E$2)*(TEXT(Registres!F$2:F$500,"0")=TEXT($A28,"0")))&gt;0,"✓",""),"")</f>
        <v/>
      </c>
      <c r="W28" s="17" t="str">
        <f aca="false">IF(20&lt;=DAY(EOMONTH(DATE($E$2,$C$2,1),0)),IF(SUMPRODUCT((DAY(Registres!C$2:C$500)=20)*(MONTH(Registres!C$2:C$500)=$C$2)*(YEAR(Registres!C$2:C$500)=$E$2)*(TEXT(Registres!F$2:F$500,"0")=TEXT($A28,"0")))&gt;0,"✓",""),"")</f>
        <v/>
      </c>
      <c r="X28" s="17" t="str">
        <f aca="false">IF(21&lt;=DAY(EOMONTH(DATE($E$2,$C$2,1),0)),IF(SUMPRODUCT((DAY(Registres!C$2:C$500)=21)*(MONTH(Registres!C$2:C$500)=$C$2)*(YEAR(Registres!C$2:C$500)=$E$2)*(TEXT(Registres!F$2:F$500,"0")=TEXT($A28,"0")))&gt;0,"✓",""),"")</f>
        <v/>
      </c>
      <c r="Y28" s="17" t="str">
        <f aca="false">IF(22&lt;=DAY(EOMONTH(DATE($E$2,$C$2,1),0)),IF(SUMPRODUCT((DAY(Registres!C$2:C$500)=22)*(MONTH(Registres!C$2:C$500)=$C$2)*(YEAR(Registres!C$2:C$500)=$E$2)*(TEXT(Registres!F$2:F$500,"0")=TEXT($A28,"0")))&gt;0,"✓",""),"")</f>
        <v/>
      </c>
      <c r="Z28" s="17" t="str">
        <f aca="false">IF(23&lt;=DAY(EOMONTH(DATE($E$2,$C$2,1),0)),IF(SUMPRODUCT((DAY(Registres!C$2:C$500)=23)*(MONTH(Registres!C$2:C$500)=$C$2)*(YEAR(Registres!C$2:C$500)=$E$2)*(TEXT(Registres!F$2:F$500,"0")=TEXT($A28,"0")))&gt;0,"✓",""),"")</f>
        <v/>
      </c>
      <c r="AA28" s="17" t="str">
        <f aca="false">IF(24&lt;=DAY(EOMONTH(DATE($E$2,$C$2,1),0)),IF(SUMPRODUCT((DAY(Registres!C$2:C$500)=24)*(MONTH(Registres!C$2:C$500)=$C$2)*(YEAR(Registres!C$2:C$500)=$E$2)*(TEXT(Registres!F$2:F$500,"0")=TEXT($A28,"0")))&gt;0,"✓",""),"")</f>
        <v/>
      </c>
      <c r="AB28" s="17" t="str">
        <f aca="false">IF(25&lt;=DAY(EOMONTH(DATE($E$2,$C$2,1),0)),IF(SUMPRODUCT((DAY(Registres!C$2:C$500)=25)*(MONTH(Registres!C$2:C$500)=$C$2)*(YEAR(Registres!C$2:C$500)=$E$2)*(TEXT(Registres!F$2:F$500,"0")=TEXT($A28,"0")))&gt;0,"✓",""),"")</f>
        <v/>
      </c>
      <c r="AC28" s="17" t="str">
        <f aca="false">IF(26&lt;=DAY(EOMONTH(DATE($E$2,$C$2,1),0)),IF(SUMPRODUCT((DAY(Registres!C$2:C$500)=26)*(MONTH(Registres!C$2:C$500)=$C$2)*(YEAR(Registres!C$2:C$500)=$E$2)*(TEXT(Registres!F$2:F$500,"0")=TEXT($A28,"0")))&gt;0,"✓",""),"")</f>
        <v/>
      </c>
      <c r="AD28" s="17" t="str">
        <f aca="false">IF(27&lt;=DAY(EOMONTH(DATE($E$2,$C$2,1),0)),IF(SUMPRODUCT((DAY(Registres!C$2:C$500)=27)*(MONTH(Registres!C$2:C$500)=$C$2)*(YEAR(Registres!C$2:C$500)=$E$2)*(TEXT(Registres!F$2:F$500,"0")=TEXT($A28,"0")))&gt;0,"✓",""),"")</f>
        <v/>
      </c>
      <c r="AE28" s="17" t="str">
        <f aca="false">IF(28&lt;=DAY(EOMONTH(DATE($E$2,$C$2,1),0)),IF(SUMPRODUCT((DAY(Registres!C$2:C$500)=28)*(MONTH(Registres!C$2:C$500)=$C$2)*(YEAR(Registres!C$2:C$500)=$E$2)*(TEXT(Registres!F$2:F$500,"0")=TEXT($A28,"0")))&gt;0,"✓",""),"")</f>
        <v/>
      </c>
      <c r="AF28" s="17" t="str">
        <f aca="false">IF(29&lt;=DAY(EOMONTH(DATE($E$2,$C$2,1),0)),IF(SUMPRODUCT((DAY(Registres!C$2:C$500)=29)*(MONTH(Registres!C$2:C$500)=$C$2)*(YEAR(Registres!C$2:C$500)=$E$2)*(TEXT(Registres!F$2:F$500,"0")=TEXT($A28,"0")))&gt;0,"✓",""),"")</f>
        <v/>
      </c>
      <c r="AG28" s="17" t="str">
        <f aca="false">IF(30&lt;=DAY(EOMONTH(DATE($E$2,$C$2,1),0)),IF(SUMPRODUCT((DAY(Registres!C$2:C$500)=30)*(MONTH(Registres!C$2:C$500)=$C$2)*(YEAR(Registres!C$2:C$500)=$E$2)*(TEXT(Registres!F$2:F$500,"0")=TEXT($A28,"0")))&gt;0,"✓",""),"")</f>
        <v/>
      </c>
      <c r="AH28" s="17" t="str">
        <f aca="false">IF(31&lt;=DAY(EOMONTH(DATE($E$2,$C$2,1),0)),IF(SUMPRODUCT((DAY(Registres!C$2:C$500)=31)*(MONTH(Registres!C$2:C$500)=$C$2)*(YEAR(Registres!C$2:C$500)=$E$2)*(TEXT(Registres!F$2:F$500,"0")=TEXT($A28,"0")))&gt;0,"✓",""),"")</f>
        <v/>
      </c>
      <c r="AI28" s="18" t="n">
        <f aca="false">COUNTIF(D28:AH28,"✓")</f>
        <v>0</v>
      </c>
    </row>
    <row r="29" customFormat="false" ht="15" hidden="false" customHeight="false" outlineLevel="0" collapsed="false">
      <c r="A29" s="14" t="n">
        <v>25</v>
      </c>
      <c r="B29" s="15" t="s">
        <v>139</v>
      </c>
      <c r="C29" s="16" t="s">
        <v>136</v>
      </c>
      <c r="D29" s="17" t="str">
        <f aca="false">IF(1&lt;=DAY(EOMONTH(DATE($E$2,$C$2,1),0)),IF(SUMPRODUCT((DAY(Registres!C$2:C$500)=1)*(MONTH(Registres!C$2:C$500)=$C$2)*(YEAR(Registres!C$2:C$500)=$E$2)*(TEXT(Registres!F$2:F$500,"0")=TEXT($A29,"0")))&gt;0,"✓",""),"")</f>
        <v/>
      </c>
      <c r="E29" s="17" t="str">
        <f aca="false">IF(2&lt;=DAY(EOMONTH(DATE($E$2,$C$2,1),0)),IF(SUMPRODUCT((DAY(Registres!C$2:C$500)=2)*(MONTH(Registres!C$2:C$500)=$C$2)*(YEAR(Registres!C$2:C$500)=$E$2)*(TEXT(Registres!F$2:F$500,"0")=TEXT($A29,"0")))&gt;0,"✓",""),"")</f>
        <v/>
      </c>
      <c r="F29" s="17" t="str">
        <f aca="false">IF(3&lt;=DAY(EOMONTH(DATE($E$2,$C$2,1),0)),IF(SUMPRODUCT((DAY(Registres!C$2:C$500)=3)*(MONTH(Registres!C$2:C$500)=$C$2)*(YEAR(Registres!C$2:C$500)=$E$2)*(TEXT(Registres!F$2:F$500,"0")=TEXT($A29,"0")))&gt;0,"✓",""),"")</f>
        <v/>
      </c>
      <c r="G29" s="17" t="str">
        <f aca="false">IF(4&lt;=DAY(EOMONTH(DATE($E$2,$C$2,1),0)),IF(SUMPRODUCT((DAY(Registres!C$2:C$500)=4)*(MONTH(Registres!C$2:C$500)=$C$2)*(YEAR(Registres!C$2:C$500)=$E$2)*(TEXT(Registres!F$2:F$500,"0")=TEXT($A29,"0")))&gt;0,"✓",""),"")</f>
        <v/>
      </c>
      <c r="H29" s="17" t="str">
        <f aca="false">IF(5&lt;=DAY(EOMONTH(DATE($E$2,$C$2,1),0)),IF(SUMPRODUCT((DAY(Registres!C$2:C$500)=5)*(MONTH(Registres!C$2:C$500)=$C$2)*(YEAR(Registres!C$2:C$500)=$E$2)*(TEXT(Registres!F$2:F$500,"0")=TEXT($A29,"0")))&gt;0,"✓",""),"")</f>
        <v/>
      </c>
      <c r="I29" s="17" t="str">
        <f aca="false">IF(6&lt;=DAY(EOMONTH(DATE($E$2,$C$2,1),0)),IF(SUMPRODUCT((DAY(Registres!C$2:C$500)=6)*(MONTH(Registres!C$2:C$500)=$C$2)*(YEAR(Registres!C$2:C$500)=$E$2)*(TEXT(Registres!F$2:F$500,"0")=TEXT($A29,"0")))&gt;0,"✓",""),"")</f>
        <v/>
      </c>
      <c r="J29" s="17" t="str">
        <f aca="false">IF(7&lt;=DAY(EOMONTH(DATE($E$2,$C$2,1),0)),IF(SUMPRODUCT((DAY(Registres!C$2:C$500)=7)*(MONTH(Registres!C$2:C$500)=$C$2)*(YEAR(Registres!C$2:C$500)=$E$2)*(TEXT(Registres!F$2:F$500,"0")=TEXT($A29,"0")))&gt;0,"✓",""),"")</f>
        <v/>
      </c>
      <c r="K29" s="17" t="str">
        <f aca="false">IF(8&lt;=DAY(EOMONTH(DATE($E$2,$C$2,1),0)),IF(SUMPRODUCT((DAY(Registres!C$2:C$500)=8)*(MONTH(Registres!C$2:C$500)=$C$2)*(YEAR(Registres!C$2:C$500)=$E$2)*(TEXT(Registres!F$2:F$500,"0")=TEXT($A29,"0")))&gt;0,"✓",""),"")</f>
        <v/>
      </c>
      <c r="L29" s="17" t="str">
        <f aca="false">IF(9&lt;=DAY(EOMONTH(DATE($E$2,$C$2,1),0)),IF(SUMPRODUCT((DAY(Registres!C$2:C$500)=9)*(MONTH(Registres!C$2:C$500)=$C$2)*(YEAR(Registres!C$2:C$500)=$E$2)*(TEXT(Registres!F$2:F$500,"0")=TEXT($A29,"0")))&gt;0,"✓",""),"")</f>
        <v/>
      </c>
      <c r="M29" s="17" t="str">
        <f aca="false">IF(10&lt;=DAY(EOMONTH(DATE($E$2,$C$2,1),0)),IF(SUMPRODUCT((DAY(Registres!C$2:C$500)=10)*(MONTH(Registres!C$2:C$500)=$C$2)*(YEAR(Registres!C$2:C$500)=$E$2)*(TEXT(Registres!F$2:F$500,"0")=TEXT($A29,"0")))&gt;0,"✓",""),"")</f>
        <v/>
      </c>
      <c r="N29" s="17" t="str">
        <f aca="false">IF(11&lt;=DAY(EOMONTH(DATE($E$2,$C$2,1),0)),IF(SUMPRODUCT((DAY(Registres!C$2:C$500)=11)*(MONTH(Registres!C$2:C$500)=$C$2)*(YEAR(Registres!C$2:C$500)=$E$2)*(TEXT(Registres!F$2:F$500,"0")=TEXT($A29,"0")))&gt;0,"✓",""),"")</f>
        <v/>
      </c>
      <c r="O29" s="17" t="str">
        <f aca="false">IF(12&lt;=DAY(EOMONTH(DATE($E$2,$C$2,1),0)),IF(SUMPRODUCT((DAY(Registres!C$2:C$500)=12)*(MONTH(Registres!C$2:C$500)=$C$2)*(YEAR(Registres!C$2:C$500)=$E$2)*(TEXT(Registres!F$2:F$500,"0")=TEXT($A29,"0")))&gt;0,"✓",""),"")</f>
        <v/>
      </c>
      <c r="P29" s="17" t="str">
        <f aca="false">IF(13&lt;=DAY(EOMONTH(DATE($E$2,$C$2,1),0)),IF(SUMPRODUCT((DAY(Registres!C$2:C$500)=13)*(MONTH(Registres!C$2:C$500)=$C$2)*(YEAR(Registres!C$2:C$500)=$E$2)*(TEXT(Registres!F$2:F$500,"0")=TEXT($A29,"0")))&gt;0,"✓",""),"")</f>
        <v/>
      </c>
      <c r="Q29" s="17" t="str">
        <f aca="false">IF(14&lt;=DAY(EOMONTH(DATE($E$2,$C$2,1),0)),IF(SUMPRODUCT((DAY(Registres!C$2:C$500)=14)*(MONTH(Registres!C$2:C$500)=$C$2)*(YEAR(Registres!C$2:C$500)=$E$2)*(TEXT(Registres!F$2:F$500,"0")=TEXT($A29,"0")))&gt;0,"✓",""),"")</f>
        <v/>
      </c>
      <c r="R29" s="17" t="str">
        <f aca="false">IF(15&lt;=DAY(EOMONTH(DATE($E$2,$C$2,1),0)),IF(SUMPRODUCT((DAY(Registres!C$2:C$500)=15)*(MONTH(Registres!C$2:C$500)=$C$2)*(YEAR(Registres!C$2:C$500)=$E$2)*(TEXT(Registres!F$2:F$500,"0")=TEXT($A29,"0")))&gt;0,"✓",""),"")</f>
        <v/>
      </c>
      <c r="S29" s="17" t="str">
        <f aca="false">IF(16&lt;=DAY(EOMONTH(DATE($E$2,$C$2,1),0)),IF(SUMPRODUCT((DAY(Registres!C$2:C$500)=16)*(MONTH(Registres!C$2:C$500)=$C$2)*(YEAR(Registres!C$2:C$500)=$E$2)*(TEXT(Registres!F$2:F$500,"0")=TEXT($A29,"0")))&gt;0,"✓",""),"")</f>
        <v/>
      </c>
      <c r="T29" s="17" t="str">
        <f aca="false">IF(17&lt;=DAY(EOMONTH(DATE($E$2,$C$2,1),0)),IF(SUMPRODUCT((DAY(Registres!C$2:C$500)=17)*(MONTH(Registres!C$2:C$500)=$C$2)*(YEAR(Registres!C$2:C$500)=$E$2)*(TEXT(Registres!F$2:F$500,"0")=TEXT($A29,"0")))&gt;0,"✓",""),"")</f>
        <v/>
      </c>
      <c r="U29" s="17" t="str">
        <f aca="false">IF(18&lt;=DAY(EOMONTH(DATE($E$2,$C$2,1),0)),IF(SUMPRODUCT((DAY(Registres!C$2:C$500)=18)*(MONTH(Registres!C$2:C$500)=$C$2)*(YEAR(Registres!C$2:C$500)=$E$2)*(TEXT(Registres!F$2:F$500,"0")=TEXT($A29,"0")))&gt;0,"✓",""),"")</f>
        <v/>
      </c>
      <c r="V29" s="17" t="str">
        <f aca="false">IF(19&lt;=DAY(EOMONTH(DATE($E$2,$C$2,1),0)),IF(SUMPRODUCT((DAY(Registres!C$2:C$500)=19)*(MONTH(Registres!C$2:C$500)=$C$2)*(YEAR(Registres!C$2:C$500)=$E$2)*(TEXT(Registres!F$2:F$500,"0")=TEXT($A29,"0")))&gt;0,"✓",""),"")</f>
        <v/>
      </c>
      <c r="W29" s="17" t="str">
        <f aca="false">IF(20&lt;=DAY(EOMONTH(DATE($E$2,$C$2,1),0)),IF(SUMPRODUCT((DAY(Registres!C$2:C$500)=20)*(MONTH(Registres!C$2:C$500)=$C$2)*(YEAR(Registres!C$2:C$500)=$E$2)*(TEXT(Registres!F$2:F$500,"0")=TEXT($A29,"0")))&gt;0,"✓",""),"")</f>
        <v/>
      </c>
      <c r="X29" s="17" t="str">
        <f aca="false">IF(21&lt;=DAY(EOMONTH(DATE($E$2,$C$2,1),0)),IF(SUMPRODUCT((DAY(Registres!C$2:C$500)=21)*(MONTH(Registres!C$2:C$500)=$C$2)*(YEAR(Registres!C$2:C$500)=$E$2)*(TEXT(Registres!F$2:F$500,"0")=TEXT($A29,"0")))&gt;0,"✓",""),"")</f>
        <v/>
      </c>
      <c r="Y29" s="17" t="str">
        <f aca="false">IF(22&lt;=DAY(EOMONTH(DATE($E$2,$C$2,1),0)),IF(SUMPRODUCT((DAY(Registres!C$2:C$500)=22)*(MONTH(Registres!C$2:C$500)=$C$2)*(YEAR(Registres!C$2:C$500)=$E$2)*(TEXT(Registres!F$2:F$500,"0")=TEXT($A29,"0")))&gt;0,"✓",""),"")</f>
        <v/>
      </c>
      <c r="Z29" s="17" t="str">
        <f aca="false">IF(23&lt;=DAY(EOMONTH(DATE($E$2,$C$2,1),0)),IF(SUMPRODUCT((DAY(Registres!C$2:C$500)=23)*(MONTH(Registres!C$2:C$500)=$C$2)*(YEAR(Registres!C$2:C$500)=$E$2)*(TEXT(Registres!F$2:F$500,"0")=TEXT($A29,"0")))&gt;0,"✓",""),"")</f>
        <v/>
      </c>
      <c r="AA29" s="17" t="str">
        <f aca="false">IF(24&lt;=DAY(EOMONTH(DATE($E$2,$C$2,1),0)),IF(SUMPRODUCT((DAY(Registres!C$2:C$500)=24)*(MONTH(Registres!C$2:C$500)=$C$2)*(YEAR(Registres!C$2:C$500)=$E$2)*(TEXT(Registres!F$2:F$500,"0")=TEXT($A29,"0")))&gt;0,"✓",""),"")</f>
        <v/>
      </c>
      <c r="AB29" s="17" t="str">
        <f aca="false">IF(25&lt;=DAY(EOMONTH(DATE($E$2,$C$2,1),0)),IF(SUMPRODUCT((DAY(Registres!C$2:C$500)=25)*(MONTH(Registres!C$2:C$500)=$C$2)*(YEAR(Registres!C$2:C$500)=$E$2)*(TEXT(Registres!F$2:F$500,"0")=TEXT($A29,"0")))&gt;0,"✓",""),"")</f>
        <v/>
      </c>
      <c r="AC29" s="17" t="str">
        <f aca="false">IF(26&lt;=DAY(EOMONTH(DATE($E$2,$C$2,1),0)),IF(SUMPRODUCT((DAY(Registres!C$2:C$500)=26)*(MONTH(Registres!C$2:C$500)=$C$2)*(YEAR(Registres!C$2:C$500)=$E$2)*(TEXT(Registres!F$2:F$500,"0")=TEXT($A29,"0")))&gt;0,"✓",""),"")</f>
        <v/>
      </c>
      <c r="AD29" s="17" t="str">
        <f aca="false">IF(27&lt;=DAY(EOMONTH(DATE($E$2,$C$2,1),0)),IF(SUMPRODUCT((DAY(Registres!C$2:C$500)=27)*(MONTH(Registres!C$2:C$500)=$C$2)*(YEAR(Registres!C$2:C$500)=$E$2)*(TEXT(Registres!F$2:F$500,"0")=TEXT($A29,"0")))&gt;0,"✓",""),"")</f>
        <v/>
      </c>
      <c r="AE29" s="17" t="str">
        <f aca="false">IF(28&lt;=DAY(EOMONTH(DATE($E$2,$C$2,1),0)),IF(SUMPRODUCT((DAY(Registres!C$2:C$500)=28)*(MONTH(Registres!C$2:C$500)=$C$2)*(YEAR(Registres!C$2:C$500)=$E$2)*(TEXT(Registres!F$2:F$500,"0")=TEXT($A29,"0")))&gt;0,"✓",""),"")</f>
        <v/>
      </c>
      <c r="AF29" s="17" t="str">
        <f aca="false">IF(29&lt;=DAY(EOMONTH(DATE($E$2,$C$2,1),0)),IF(SUMPRODUCT((DAY(Registres!C$2:C$500)=29)*(MONTH(Registres!C$2:C$500)=$C$2)*(YEAR(Registres!C$2:C$500)=$E$2)*(TEXT(Registres!F$2:F$500,"0")=TEXT($A29,"0")))&gt;0,"✓",""),"")</f>
        <v/>
      </c>
      <c r="AG29" s="17" t="str">
        <f aca="false">IF(30&lt;=DAY(EOMONTH(DATE($E$2,$C$2,1),0)),IF(SUMPRODUCT((DAY(Registres!C$2:C$500)=30)*(MONTH(Registres!C$2:C$500)=$C$2)*(YEAR(Registres!C$2:C$500)=$E$2)*(TEXT(Registres!F$2:F$500,"0")=TEXT($A29,"0")))&gt;0,"✓",""),"")</f>
        <v/>
      </c>
      <c r="AH29" s="17" t="str">
        <f aca="false">IF(31&lt;=DAY(EOMONTH(DATE($E$2,$C$2,1),0)),IF(SUMPRODUCT((DAY(Registres!C$2:C$500)=31)*(MONTH(Registres!C$2:C$500)=$C$2)*(YEAR(Registres!C$2:C$500)=$E$2)*(TEXT(Registres!F$2:F$500,"0")=TEXT($A29,"0")))&gt;0,"✓",""),"")</f>
        <v/>
      </c>
      <c r="AI29" s="18" t="n">
        <f aca="false">COUNTIF(D29:AH29,"✓")</f>
        <v>0</v>
      </c>
    </row>
    <row r="30" customFormat="false" ht="15" hidden="false" customHeight="false" outlineLevel="0" collapsed="false">
      <c r="A30" s="19" t="n">
        <v>26</v>
      </c>
      <c r="B30" s="20" t="s">
        <v>140</v>
      </c>
      <c r="C30" s="21" t="s">
        <v>136</v>
      </c>
      <c r="D30" s="17" t="str">
        <f aca="false">IF(1&lt;=DAY(EOMONTH(DATE($E$2,$C$2,1),0)),IF(SUMPRODUCT((DAY(Registres!C$2:C$500)=1)*(MONTH(Registres!C$2:C$500)=$C$2)*(YEAR(Registres!C$2:C$500)=$E$2)*(TEXT(Registres!F$2:F$500,"0")=TEXT($A30,"0")))&gt;0,"✓",""),"")</f>
        <v/>
      </c>
      <c r="E30" s="17" t="str">
        <f aca="false">IF(2&lt;=DAY(EOMONTH(DATE($E$2,$C$2,1),0)),IF(SUMPRODUCT((DAY(Registres!C$2:C$500)=2)*(MONTH(Registres!C$2:C$500)=$C$2)*(YEAR(Registres!C$2:C$500)=$E$2)*(TEXT(Registres!F$2:F$500,"0")=TEXT($A30,"0")))&gt;0,"✓",""),"")</f>
        <v/>
      </c>
      <c r="F30" s="17" t="str">
        <f aca="false">IF(3&lt;=DAY(EOMONTH(DATE($E$2,$C$2,1),0)),IF(SUMPRODUCT((DAY(Registres!C$2:C$500)=3)*(MONTH(Registres!C$2:C$500)=$C$2)*(YEAR(Registres!C$2:C$500)=$E$2)*(TEXT(Registres!F$2:F$500,"0")=TEXT($A30,"0")))&gt;0,"✓",""),"")</f>
        <v/>
      </c>
      <c r="G30" s="17" t="str">
        <f aca="false">IF(4&lt;=DAY(EOMONTH(DATE($E$2,$C$2,1),0)),IF(SUMPRODUCT((DAY(Registres!C$2:C$500)=4)*(MONTH(Registres!C$2:C$500)=$C$2)*(YEAR(Registres!C$2:C$500)=$E$2)*(TEXT(Registres!F$2:F$500,"0")=TEXT($A30,"0")))&gt;0,"✓",""),"")</f>
        <v/>
      </c>
      <c r="H30" s="17" t="str">
        <f aca="false">IF(5&lt;=DAY(EOMONTH(DATE($E$2,$C$2,1),0)),IF(SUMPRODUCT((DAY(Registres!C$2:C$500)=5)*(MONTH(Registres!C$2:C$500)=$C$2)*(YEAR(Registres!C$2:C$500)=$E$2)*(TEXT(Registres!F$2:F$500,"0")=TEXT($A30,"0")))&gt;0,"✓",""),"")</f>
        <v/>
      </c>
      <c r="I30" s="17" t="str">
        <f aca="false">IF(6&lt;=DAY(EOMONTH(DATE($E$2,$C$2,1),0)),IF(SUMPRODUCT((DAY(Registres!C$2:C$500)=6)*(MONTH(Registres!C$2:C$500)=$C$2)*(YEAR(Registres!C$2:C$500)=$E$2)*(TEXT(Registres!F$2:F$500,"0")=TEXT($A30,"0")))&gt;0,"✓",""),"")</f>
        <v/>
      </c>
      <c r="J30" s="17" t="str">
        <f aca="false">IF(7&lt;=DAY(EOMONTH(DATE($E$2,$C$2,1),0)),IF(SUMPRODUCT((DAY(Registres!C$2:C$500)=7)*(MONTH(Registres!C$2:C$500)=$C$2)*(YEAR(Registres!C$2:C$500)=$E$2)*(TEXT(Registres!F$2:F$500,"0")=TEXT($A30,"0")))&gt;0,"✓",""),"")</f>
        <v/>
      </c>
      <c r="K30" s="17" t="str">
        <f aca="false">IF(8&lt;=DAY(EOMONTH(DATE($E$2,$C$2,1),0)),IF(SUMPRODUCT((DAY(Registres!C$2:C$500)=8)*(MONTH(Registres!C$2:C$500)=$C$2)*(YEAR(Registres!C$2:C$500)=$E$2)*(TEXT(Registres!F$2:F$500,"0")=TEXT($A30,"0")))&gt;0,"✓",""),"")</f>
        <v/>
      </c>
      <c r="L30" s="17" t="str">
        <f aca="false">IF(9&lt;=DAY(EOMONTH(DATE($E$2,$C$2,1),0)),IF(SUMPRODUCT((DAY(Registres!C$2:C$500)=9)*(MONTH(Registres!C$2:C$500)=$C$2)*(YEAR(Registres!C$2:C$500)=$E$2)*(TEXT(Registres!F$2:F$500,"0")=TEXT($A30,"0")))&gt;0,"✓",""),"")</f>
        <v/>
      </c>
      <c r="M30" s="17" t="str">
        <f aca="false">IF(10&lt;=DAY(EOMONTH(DATE($E$2,$C$2,1),0)),IF(SUMPRODUCT((DAY(Registres!C$2:C$500)=10)*(MONTH(Registres!C$2:C$500)=$C$2)*(YEAR(Registres!C$2:C$500)=$E$2)*(TEXT(Registres!F$2:F$500,"0")=TEXT($A30,"0")))&gt;0,"✓",""),"")</f>
        <v/>
      </c>
      <c r="N30" s="17" t="str">
        <f aca="false">IF(11&lt;=DAY(EOMONTH(DATE($E$2,$C$2,1),0)),IF(SUMPRODUCT((DAY(Registres!C$2:C$500)=11)*(MONTH(Registres!C$2:C$500)=$C$2)*(YEAR(Registres!C$2:C$500)=$E$2)*(TEXT(Registres!F$2:F$500,"0")=TEXT($A30,"0")))&gt;0,"✓",""),"")</f>
        <v/>
      </c>
      <c r="O30" s="17" t="str">
        <f aca="false">IF(12&lt;=DAY(EOMONTH(DATE($E$2,$C$2,1),0)),IF(SUMPRODUCT((DAY(Registres!C$2:C$500)=12)*(MONTH(Registres!C$2:C$500)=$C$2)*(YEAR(Registres!C$2:C$500)=$E$2)*(TEXT(Registres!F$2:F$500,"0")=TEXT($A30,"0")))&gt;0,"✓",""),"")</f>
        <v/>
      </c>
      <c r="P30" s="17" t="str">
        <f aca="false">IF(13&lt;=DAY(EOMONTH(DATE($E$2,$C$2,1),0)),IF(SUMPRODUCT((DAY(Registres!C$2:C$500)=13)*(MONTH(Registres!C$2:C$500)=$C$2)*(YEAR(Registres!C$2:C$500)=$E$2)*(TEXT(Registres!F$2:F$500,"0")=TEXT($A30,"0")))&gt;0,"✓",""),"")</f>
        <v/>
      </c>
      <c r="Q30" s="17" t="str">
        <f aca="false">IF(14&lt;=DAY(EOMONTH(DATE($E$2,$C$2,1),0)),IF(SUMPRODUCT((DAY(Registres!C$2:C$500)=14)*(MONTH(Registres!C$2:C$500)=$C$2)*(YEAR(Registres!C$2:C$500)=$E$2)*(TEXT(Registres!F$2:F$500,"0")=TEXT($A30,"0")))&gt;0,"✓",""),"")</f>
        <v/>
      </c>
      <c r="R30" s="17" t="str">
        <f aca="false">IF(15&lt;=DAY(EOMONTH(DATE($E$2,$C$2,1),0)),IF(SUMPRODUCT((DAY(Registres!C$2:C$500)=15)*(MONTH(Registres!C$2:C$500)=$C$2)*(YEAR(Registres!C$2:C$500)=$E$2)*(TEXT(Registres!F$2:F$500,"0")=TEXT($A30,"0")))&gt;0,"✓",""),"")</f>
        <v/>
      </c>
      <c r="S30" s="17" t="str">
        <f aca="false">IF(16&lt;=DAY(EOMONTH(DATE($E$2,$C$2,1),0)),IF(SUMPRODUCT((DAY(Registres!C$2:C$500)=16)*(MONTH(Registres!C$2:C$500)=$C$2)*(YEAR(Registres!C$2:C$500)=$E$2)*(TEXT(Registres!F$2:F$500,"0")=TEXT($A30,"0")))&gt;0,"✓",""),"")</f>
        <v/>
      </c>
      <c r="T30" s="17" t="str">
        <f aca="false">IF(17&lt;=DAY(EOMONTH(DATE($E$2,$C$2,1),0)),IF(SUMPRODUCT((DAY(Registres!C$2:C$500)=17)*(MONTH(Registres!C$2:C$500)=$C$2)*(YEAR(Registres!C$2:C$500)=$E$2)*(TEXT(Registres!F$2:F$500,"0")=TEXT($A30,"0")))&gt;0,"✓",""),"")</f>
        <v/>
      </c>
      <c r="U30" s="17" t="str">
        <f aca="false">IF(18&lt;=DAY(EOMONTH(DATE($E$2,$C$2,1),0)),IF(SUMPRODUCT((DAY(Registres!C$2:C$500)=18)*(MONTH(Registres!C$2:C$500)=$C$2)*(YEAR(Registres!C$2:C$500)=$E$2)*(TEXT(Registres!F$2:F$500,"0")=TEXT($A30,"0")))&gt;0,"✓",""),"")</f>
        <v/>
      </c>
      <c r="V30" s="17" t="str">
        <f aca="false">IF(19&lt;=DAY(EOMONTH(DATE($E$2,$C$2,1),0)),IF(SUMPRODUCT((DAY(Registres!C$2:C$500)=19)*(MONTH(Registres!C$2:C$500)=$C$2)*(YEAR(Registres!C$2:C$500)=$E$2)*(TEXT(Registres!F$2:F$500,"0")=TEXT($A30,"0")))&gt;0,"✓",""),"")</f>
        <v/>
      </c>
      <c r="W30" s="17" t="str">
        <f aca="false">IF(20&lt;=DAY(EOMONTH(DATE($E$2,$C$2,1),0)),IF(SUMPRODUCT((DAY(Registres!C$2:C$500)=20)*(MONTH(Registres!C$2:C$500)=$C$2)*(YEAR(Registres!C$2:C$500)=$E$2)*(TEXT(Registres!F$2:F$500,"0")=TEXT($A30,"0")))&gt;0,"✓",""),"")</f>
        <v/>
      </c>
      <c r="X30" s="17" t="str">
        <f aca="false">IF(21&lt;=DAY(EOMONTH(DATE($E$2,$C$2,1),0)),IF(SUMPRODUCT((DAY(Registres!C$2:C$500)=21)*(MONTH(Registres!C$2:C$500)=$C$2)*(YEAR(Registres!C$2:C$500)=$E$2)*(TEXT(Registres!F$2:F$500,"0")=TEXT($A30,"0")))&gt;0,"✓",""),"")</f>
        <v/>
      </c>
      <c r="Y30" s="17" t="str">
        <f aca="false">IF(22&lt;=DAY(EOMONTH(DATE($E$2,$C$2,1),0)),IF(SUMPRODUCT((DAY(Registres!C$2:C$500)=22)*(MONTH(Registres!C$2:C$500)=$C$2)*(YEAR(Registres!C$2:C$500)=$E$2)*(TEXT(Registres!F$2:F$500,"0")=TEXT($A30,"0")))&gt;0,"✓",""),"")</f>
        <v/>
      </c>
      <c r="Z30" s="17" t="str">
        <f aca="false">IF(23&lt;=DAY(EOMONTH(DATE($E$2,$C$2,1),0)),IF(SUMPRODUCT((DAY(Registres!C$2:C$500)=23)*(MONTH(Registres!C$2:C$500)=$C$2)*(YEAR(Registres!C$2:C$500)=$E$2)*(TEXT(Registres!F$2:F$500,"0")=TEXT($A30,"0")))&gt;0,"✓",""),"")</f>
        <v/>
      </c>
      <c r="AA30" s="17" t="str">
        <f aca="false">IF(24&lt;=DAY(EOMONTH(DATE($E$2,$C$2,1),0)),IF(SUMPRODUCT((DAY(Registres!C$2:C$500)=24)*(MONTH(Registres!C$2:C$500)=$C$2)*(YEAR(Registres!C$2:C$500)=$E$2)*(TEXT(Registres!F$2:F$500,"0")=TEXT($A30,"0")))&gt;0,"✓",""),"")</f>
        <v/>
      </c>
      <c r="AB30" s="17" t="str">
        <f aca="false">IF(25&lt;=DAY(EOMONTH(DATE($E$2,$C$2,1),0)),IF(SUMPRODUCT((DAY(Registres!C$2:C$500)=25)*(MONTH(Registres!C$2:C$500)=$C$2)*(YEAR(Registres!C$2:C$500)=$E$2)*(TEXT(Registres!F$2:F$500,"0")=TEXT($A30,"0")))&gt;0,"✓",""),"")</f>
        <v/>
      </c>
      <c r="AC30" s="17" t="str">
        <f aca="false">IF(26&lt;=DAY(EOMONTH(DATE($E$2,$C$2,1),0)),IF(SUMPRODUCT((DAY(Registres!C$2:C$500)=26)*(MONTH(Registres!C$2:C$500)=$C$2)*(YEAR(Registres!C$2:C$500)=$E$2)*(TEXT(Registres!F$2:F$500,"0")=TEXT($A30,"0")))&gt;0,"✓",""),"")</f>
        <v/>
      </c>
      <c r="AD30" s="17" t="str">
        <f aca="false">IF(27&lt;=DAY(EOMONTH(DATE($E$2,$C$2,1),0)),IF(SUMPRODUCT((DAY(Registres!C$2:C$500)=27)*(MONTH(Registres!C$2:C$500)=$C$2)*(YEAR(Registres!C$2:C$500)=$E$2)*(TEXT(Registres!F$2:F$500,"0")=TEXT($A30,"0")))&gt;0,"✓",""),"")</f>
        <v/>
      </c>
      <c r="AE30" s="17" t="str">
        <f aca="false">IF(28&lt;=DAY(EOMONTH(DATE($E$2,$C$2,1),0)),IF(SUMPRODUCT((DAY(Registres!C$2:C$500)=28)*(MONTH(Registres!C$2:C$500)=$C$2)*(YEAR(Registres!C$2:C$500)=$E$2)*(TEXT(Registres!F$2:F$500,"0")=TEXT($A30,"0")))&gt;0,"✓",""),"")</f>
        <v/>
      </c>
      <c r="AF30" s="17" t="str">
        <f aca="false">IF(29&lt;=DAY(EOMONTH(DATE($E$2,$C$2,1),0)),IF(SUMPRODUCT((DAY(Registres!C$2:C$500)=29)*(MONTH(Registres!C$2:C$500)=$C$2)*(YEAR(Registres!C$2:C$500)=$E$2)*(TEXT(Registres!F$2:F$500,"0")=TEXT($A30,"0")))&gt;0,"✓",""),"")</f>
        <v/>
      </c>
      <c r="AG30" s="17" t="str">
        <f aca="false">IF(30&lt;=DAY(EOMONTH(DATE($E$2,$C$2,1),0)),IF(SUMPRODUCT((DAY(Registres!C$2:C$500)=30)*(MONTH(Registres!C$2:C$500)=$C$2)*(YEAR(Registres!C$2:C$500)=$E$2)*(TEXT(Registres!F$2:F$500,"0")=TEXT($A30,"0")))&gt;0,"✓",""),"")</f>
        <v/>
      </c>
      <c r="AH30" s="17" t="str">
        <f aca="false">IF(31&lt;=DAY(EOMONTH(DATE($E$2,$C$2,1),0)),IF(SUMPRODUCT((DAY(Registres!C$2:C$500)=31)*(MONTH(Registres!C$2:C$500)=$C$2)*(YEAR(Registres!C$2:C$500)=$E$2)*(TEXT(Registres!F$2:F$500,"0")=TEXT($A30,"0")))&gt;0,"✓",""),"")</f>
        <v/>
      </c>
      <c r="AI30" s="18" t="n">
        <f aca="false">COUNTIF(D30:AH30,"✓")</f>
        <v>0</v>
      </c>
    </row>
    <row r="31" customFormat="false" ht="15" hidden="false" customHeight="false" outlineLevel="0" collapsed="false">
      <c r="A31" s="14" t="n">
        <v>27</v>
      </c>
      <c r="B31" s="15" t="s">
        <v>141</v>
      </c>
      <c r="C31" s="16" t="s">
        <v>136</v>
      </c>
      <c r="D31" s="17" t="str">
        <f aca="false">IF(1&lt;=DAY(EOMONTH(DATE($E$2,$C$2,1),0)),IF(SUMPRODUCT((DAY(Registres!C$2:C$500)=1)*(MONTH(Registres!C$2:C$500)=$C$2)*(YEAR(Registres!C$2:C$500)=$E$2)*(TEXT(Registres!F$2:F$500,"0")=TEXT($A31,"0")))&gt;0,"✓",""),"")</f>
        <v/>
      </c>
      <c r="E31" s="17" t="str">
        <f aca="false">IF(2&lt;=DAY(EOMONTH(DATE($E$2,$C$2,1),0)),IF(SUMPRODUCT((DAY(Registres!C$2:C$500)=2)*(MONTH(Registres!C$2:C$500)=$C$2)*(YEAR(Registres!C$2:C$500)=$E$2)*(TEXT(Registres!F$2:F$500,"0")=TEXT($A31,"0")))&gt;0,"✓",""),"")</f>
        <v/>
      </c>
      <c r="F31" s="17" t="str">
        <f aca="false">IF(3&lt;=DAY(EOMONTH(DATE($E$2,$C$2,1),0)),IF(SUMPRODUCT((DAY(Registres!C$2:C$500)=3)*(MONTH(Registres!C$2:C$500)=$C$2)*(YEAR(Registres!C$2:C$500)=$E$2)*(TEXT(Registres!F$2:F$500,"0")=TEXT($A31,"0")))&gt;0,"✓",""),"")</f>
        <v/>
      </c>
      <c r="G31" s="17" t="str">
        <f aca="false">IF(4&lt;=DAY(EOMONTH(DATE($E$2,$C$2,1),0)),IF(SUMPRODUCT((DAY(Registres!C$2:C$500)=4)*(MONTH(Registres!C$2:C$500)=$C$2)*(YEAR(Registres!C$2:C$500)=$E$2)*(TEXT(Registres!F$2:F$500,"0")=TEXT($A31,"0")))&gt;0,"✓",""),"")</f>
        <v/>
      </c>
      <c r="H31" s="17" t="str">
        <f aca="false">IF(5&lt;=DAY(EOMONTH(DATE($E$2,$C$2,1),0)),IF(SUMPRODUCT((DAY(Registres!C$2:C$500)=5)*(MONTH(Registres!C$2:C$500)=$C$2)*(YEAR(Registres!C$2:C$500)=$E$2)*(TEXT(Registres!F$2:F$500,"0")=TEXT($A31,"0")))&gt;0,"✓",""),"")</f>
        <v/>
      </c>
      <c r="I31" s="17" t="str">
        <f aca="false">IF(6&lt;=DAY(EOMONTH(DATE($E$2,$C$2,1),0)),IF(SUMPRODUCT((DAY(Registres!C$2:C$500)=6)*(MONTH(Registres!C$2:C$500)=$C$2)*(YEAR(Registres!C$2:C$500)=$E$2)*(TEXT(Registres!F$2:F$500,"0")=TEXT($A31,"0")))&gt;0,"✓",""),"")</f>
        <v/>
      </c>
      <c r="J31" s="17" t="str">
        <f aca="false">IF(7&lt;=DAY(EOMONTH(DATE($E$2,$C$2,1),0)),IF(SUMPRODUCT((DAY(Registres!C$2:C$500)=7)*(MONTH(Registres!C$2:C$500)=$C$2)*(YEAR(Registres!C$2:C$500)=$E$2)*(TEXT(Registres!F$2:F$500,"0")=TEXT($A31,"0")))&gt;0,"✓",""),"")</f>
        <v/>
      </c>
      <c r="K31" s="17" t="str">
        <f aca="false">IF(8&lt;=DAY(EOMONTH(DATE($E$2,$C$2,1),0)),IF(SUMPRODUCT((DAY(Registres!C$2:C$500)=8)*(MONTH(Registres!C$2:C$500)=$C$2)*(YEAR(Registres!C$2:C$500)=$E$2)*(TEXT(Registres!F$2:F$500,"0")=TEXT($A31,"0")))&gt;0,"✓",""),"")</f>
        <v/>
      </c>
      <c r="L31" s="17" t="str">
        <f aca="false">IF(9&lt;=DAY(EOMONTH(DATE($E$2,$C$2,1),0)),IF(SUMPRODUCT((DAY(Registres!C$2:C$500)=9)*(MONTH(Registres!C$2:C$500)=$C$2)*(YEAR(Registres!C$2:C$500)=$E$2)*(TEXT(Registres!F$2:F$500,"0")=TEXT($A31,"0")))&gt;0,"✓",""),"")</f>
        <v/>
      </c>
      <c r="M31" s="17" t="str">
        <f aca="false">IF(10&lt;=DAY(EOMONTH(DATE($E$2,$C$2,1),0)),IF(SUMPRODUCT((DAY(Registres!C$2:C$500)=10)*(MONTH(Registres!C$2:C$500)=$C$2)*(YEAR(Registres!C$2:C$500)=$E$2)*(TEXT(Registres!F$2:F$500,"0")=TEXT($A31,"0")))&gt;0,"✓",""),"")</f>
        <v/>
      </c>
      <c r="N31" s="17" t="str">
        <f aca="false">IF(11&lt;=DAY(EOMONTH(DATE($E$2,$C$2,1),0)),IF(SUMPRODUCT((DAY(Registres!C$2:C$500)=11)*(MONTH(Registres!C$2:C$500)=$C$2)*(YEAR(Registres!C$2:C$500)=$E$2)*(TEXT(Registres!F$2:F$500,"0")=TEXT($A31,"0")))&gt;0,"✓",""),"")</f>
        <v/>
      </c>
      <c r="O31" s="17" t="str">
        <f aca="false">IF(12&lt;=DAY(EOMONTH(DATE($E$2,$C$2,1),0)),IF(SUMPRODUCT((DAY(Registres!C$2:C$500)=12)*(MONTH(Registres!C$2:C$500)=$C$2)*(YEAR(Registres!C$2:C$500)=$E$2)*(TEXT(Registres!F$2:F$500,"0")=TEXT($A31,"0")))&gt;0,"✓",""),"")</f>
        <v/>
      </c>
      <c r="P31" s="17" t="str">
        <f aca="false">IF(13&lt;=DAY(EOMONTH(DATE($E$2,$C$2,1),0)),IF(SUMPRODUCT((DAY(Registres!C$2:C$500)=13)*(MONTH(Registres!C$2:C$500)=$C$2)*(YEAR(Registres!C$2:C$500)=$E$2)*(TEXT(Registres!F$2:F$500,"0")=TEXT($A31,"0")))&gt;0,"✓",""),"")</f>
        <v/>
      </c>
      <c r="Q31" s="17" t="str">
        <f aca="false">IF(14&lt;=DAY(EOMONTH(DATE($E$2,$C$2,1),0)),IF(SUMPRODUCT((DAY(Registres!C$2:C$500)=14)*(MONTH(Registres!C$2:C$500)=$C$2)*(YEAR(Registres!C$2:C$500)=$E$2)*(TEXT(Registres!F$2:F$500,"0")=TEXT($A31,"0")))&gt;0,"✓",""),"")</f>
        <v/>
      </c>
      <c r="R31" s="17" t="str">
        <f aca="false">IF(15&lt;=DAY(EOMONTH(DATE($E$2,$C$2,1),0)),IF(SUMPRODUCT((DAY(Registres!C$2:C$500)=15)*(MONTH(Registres!C$2:C$500)=$C$2)*(YEAR(Registres!C$2:C$500)=$E$2)*(TEXT(Registres!F$2:F$500,"0")=TEXT($A31,"0")))&gt;0,"✓",""),"")</f>
        <v/>
      </c>
      <c r="S31" s="17" t="str">
        <f aca="false">IF(16&lt;=DAY(EOMONTH(DATE($E$2,$C$2,1),0)),IF(SUMPRODUCT((DAY(Registres!C$2:C$500)=16)*(MONTH(Registres!C$2:C$500)=$C$2)*(YEAR(Registres!C$2:C$500)=$E$2)*(TEXT(Registres!F$2:F$500,"0")=TEXT($A31,"0")))&gt;0,"✓",""),"")</f>
        <v/>
      </c>
      <c r="T31" s="17" t="str">
        <f aca="false">IF(17&lt;=DAY(EOMONTH(DATE($E$2,$C$2,1),0)),IF(SUMPRODUCT((DAY(Registres!C$2:C$500)=17)*(MONTH(Registres!C$2:C$500)=$C$2)*(YEAR(Registres!C$2:C$500)=$E$2)*(TEXT(Registres!F$2:F$500,"0")=TEXT($A31,"0")))&gt;0,"✓",""),"")</f>
        <v/>
      </c>
      <c r="U31" s="17" t="str">
        <f aca="false">IF(18&lt;=DAY(EOMONTH(DATE($E$2,$C$2,1),0)),IF(SUMPRODUCT((DAY(Registres!C$2:C$500)=18)*(MONTH(Registres!C$2:C$500)=$C$2)*(YEAR(Registres!C$2:C$500)=$E$2)*(TEXT(Registres!F$2:F$500,"0")=TEXT($A31,"0")))&gt;0,"✓",""),"")</f>
        <v/>
      </c>
      <c r="V31" s="17" t="str">
        <f aca="false">IF(19&lt;=DAY(EOMONTH(DATE($E$2,$C$2,1),0)),IF(SUMPRODUCT((DAY(Registres!C$2:C$500)=19)*(MONTH(Registres!C$2:C$500)=$C$2)*(YEAR(Registres!C$2:C$500)=$E$2)*(TEXT(Registres!F$2:F$500,"0")=TEXT($A31,"0")))&gt;0,"✓",""),"")</f>
        <v/>
      </c>
      <c r="W31" s="17" t="str">
        <f aca="false">IF(20&lt;=DAY(EOMONTH(DATE($E$2,$C$2,1),0)),IF(SUMPRODUCT((DAY(Registres!C$2:C$500)=20)*(MONTH(Registres!C$2:C$500)=$C$2)*(YEAR(Registres!C$2:C$500)=$E$2)*(TEXT(Registres!F$2:F$500,"0")=TEXT($A31,"0")))&gt;0,"✓",""),"")</f>
        <v/>
      </c>
      <c r="X31" s="17" t="str">
        <f aca="false">IF(21&lt;=DAY(EOMONTH(DATE($E$2,$C$2,1),0)),IF(SUMPRODUCT((DAY(Registres!C$2:C$500)=21)*(MONTH(Registres!C$2:C$500)=$C$2)*(YEAR(Registres!C$2:C$500)=$E$2)*(TEXT(Registres!F$2:F$500,"0")=TEXT($A31,"0")))&gt;0,"✓",""),"")</f>
        <v/>
      </c>
      <c r="Y31" s="17" t="str">
        <f aca="false">IF(22&lt;=DAY(EOMONTH(DATE($E$2,$C$2,1),0)),IF(SUMPRODUCT((DAY(Registres!C$2:C$500)=22)*(MONTH(Registres!C$2:C$500)=$C$2)*(YEAR(Registres!C$2:C$500)=$E$2)*(TEXT(Registres!F$2:F$500,"0")=TEXT($A31,"0")))&gt;0,"✓",""),"")</f>
        <v/>
      </c>
      <c r="Z31" s="17" t="str">
        <f aca="false">IF(23&lt;=DAY(EOMONTH(DATE($E$2,$C$2,1),0)),IF(SUMPRODUCT((DAY(Registres!C$2:C$500)=23)*(MONTH(Registres!C$2:C$500)=$C$2)*(YEAR(Registres!C$2:C$500)=$E$2)*(TEXT(Registres!F$2:F$500,"0")=TEXT($A31,"0")))&gt;0,"✓",""),"")</f>
        <v/>
      </c>
      <c r="AA31" s="17" t="str">
        <f aca="false">IF(24&lt;=DAY(EOMONTH(DATE($E$2,$C$2,1),0)),IF(SUMPRODUCT((DAY(Registres!C$2:C$500)=24)*(MONTH(Registres!C$2:C$500)=$C$2)*(YEAR(Registres!C$2:C$500)=$E$2)*(TEXT(Registres!F$2:F$500,"0")=TEXT($A31,"0")))&gt;0,"✓",""),"")</f>
        <v/>
      </c>
      <c r="AB31" s="17" t="str">
        <f aca="false">IF(25&lt;=DAY(EOMONTH(DATE($E$2,$C$2,1),0)),IF(SUMPRODUCT((DAY(Registres!C$2:C$500)=25)*(MONTH(Registres!C$2:C$500)=$C$2)*(YEAR(Registres!C$2:C$500)=$E$2)*(TEXT(Registres!F$2:F$500,"0")=TEXT($A31,"0")))&gt;0,"✓",""),"")</f>
        <v/>
      </c>
      <c r="AC31" s="17" t="str">
        <f aca="false">IF(26&lt;=DAY(EOMONTH(DATE($E$2,$C$2,1),0)),IF(SUMPRODUCT((DAY(Registres!C$2:C$500)=26)*(MONTH(Registres!C$2:C$500)=$C$2)*(YEAR(Registres!C$2:C$500)=$E$2)*(TEXT(Registres!F$2:F$500,"0")=TEXT($A31,"0")))&gt;0,"✓",""),"")</f>
        <v/>
      </c>
      <c r="AD31" s="17" t="str">
        <f aca="false">IF(27&lt;=DAY(EOMONTH(DATE($E$2,$C$2,1),0)),IF(SUMPRODUCT((DAY(Registres!C$2:C$500)=27)*(MONTH(Registres!C$2:C$500)=$C$2)*(YEAR(Registres!C$2:C$500)=$E$2)*(TEXT(Registres!F$2:F$500,"0")=TEXT($A31,"0")))&gt;0,"✓",""),"")</f>
        <v/>
      </c>
      <c r="AE31" s="17" t="str">
        <f aca="false">IF(28&lt;=DAY(EOMONTH(DATE($E$2,$C$2,1),0)),IF(SUMPRODUCT((DAY(Registres!C$2:C$500)=28)*(MONTH(Registres!C$2:C$500)=$C$2)*(YEAR(Registres!C$2:C$500)=$E$2)*(TEXT(Registres!F$2:F$500,"0")=TEXT($A31,"0")))&gt;0,"✓",""),"")</f>
        <v/>
      </c>
      <c r="AF31" s="17" t="str">
        <f aca="false">IF(29&lt;=DAY(EOMONTH(DATE($E$2,$C$2,1),0)),IF(SUMPRODUCT((DAY(Registres!C$2:C$500)=29)*(MONTH(Registres!C$2:C$500)=$C$2)*(YEAR(Registres!C$2:C$500)=$E$2)*(TEXT(Registres!F$2:F$500,"0")=TEXT($A31,"0")))&gt;0,"✓",""),"")</f>
        <v/>
      </c>
      <c r="AG31" s="17" t="str">
        <f aca="false">IF(30&lt;=DAY(EOMONTH(DATE($E$2,$C$2,1),0)),IF(SUMPRODUCT((DAY(Registres!C$2:C$500)=30)*(MONTH(Registres!C$2:C$500)=$C$2)*(YEAR(Registres!C$2:C$500)=$E$2)*(TEXT(Registres!F$2:F$500,"0")=TEXT($A31,"0")))&gt;0,"✓",""),"")</f>
        <v/>
      </c>
      <c r="AH31" s="17" t="str">
        <f aca="false">IF(31&lt;=DAY(EOMONTH(DATE($E$2,$C$2,1),0)),IF(SUMPRODUCT((DAY(Registres!C$2:C$500)=31)*(MONTH(Registres!C$2:C$500)=$C$2)*(YEAR(Registres!C$2:C$500)=$E$2)*(TEXT(Registres!F$2:F$500,"0")=TEXT($A31,"0")))&gt;0,"✓",""),"")</f>
        <v/>
      </c>
      <c r="AI31" s="18" t="n">
        <f aca="false">COUNTIF(D31:AH31,"✓")</f>
        <v>0</v>
      </c>
    </row>
    <row r="32" customFormat="false" ht="15" hidden="false" customHeight="false" outlineLevel="0" collapsed="false">
      <c r="A32" s="19" t="n">
        <v>28</v>
      </c>
      <c r="B32" s="20" t="s">
        <v>142</v>
      </c>
      <c r="C32" s="21" t="s">
        <v>136</v>
      </c>
      <c r="D32" s="17" t="str">
        <f aca="false">IF(1&lt;=DAY(EOMONTH(DATE($E$2,$C$2,1),0)),IF(SUMPRODUCT((DAY(Registres!C$2:C$500)=1)*(MONTH(Registres!C$2:C$500)=$C$2)*(YEAR(Registres!C$2:C$500)=$E$2)*(TEXT(Registres!F$2:F$500,"0")=TEXT($A32,"0")))&gt;0,"✓",""),"")</f>
        <v/>
      </c>
      <c r="E32" s="17" t="str">
        <f aca="false">IF(2&lt;=DAY(EOMONTH(DATE($E$2,$C$2,1),0)),IF(SUMPRODUCT((DAY(Registres!C$2:C$500)=2)*(MONTH(Registres!C$2:C$500)=$C$2)*(YEAR(Registres!C$2:C$500)=$E$2)*(TEXT(Registres!F$2:F$500,"0")=TEXT($A32,"0")))&gt;0,"✓",""),"")</f>
        <v/>
      </c>
      <c r="F32" s="17" t="str">
        <f aca="false">IF(3&lt;=DAY(EOMONTH(DATE($E$2,$C$2,1),0)),IF(SUMPRODUCT((DAY(Registres!C$2:C$500)=3)*(MONTH(Registres!C$2:C$500)=$C$2)*(YEAR(Registres!C$2:C$500)=$E$2)*(TEXT(Registres!F$2:F$500,"0")=TEXT($A32,"0")))&gt;0,"✓",""),"")</f>
        <v/>
      </c>
      <c r="G32" s="17" t="str">
        <f aca="false">IF(4&lt;=DAY(EOMONTH(DATE($E$2,$C$2,1),0)),IF(SUMPRODUCT((DAY(Registres!C$2:C$500)=4)*(MONTH(Registres!C$2:C$500)=$C$2)*(YEAR(Registres!C$2:C$500)=$E$2)*(TEXT(Registres!F$2:F$500,"0")=TEXT($A32,"0")))&gt;0,"✓",""),"")</f>
        <v/>
      </c>
      <c r="H32" s="17" t="str">
        <f aca="false">IF(5&lt;=DAY(EOMONTH(DATE($E$2,$C$2,1),0)),IF(SUMPRODUCT((DAY(Registres!C$2:C$500)=5)*(MONTH(Registres!C$2:C$500)=$C$2)*(YEAR(Registres!C$2:C$500)=$E$2)*(TEXT(Registres!F$2:F$500,"0")=TEXT($A32,"0")))&gt;0,"✓",""),"")</f>
        <v/>
      </c>
      <c r="I32" s="17" t="str">
        <f aca="false">IF(6&lt;=DAY(EOMONTH(DATE($E$2,$C$2,1),0)),IF(SUMPRODUCT((DAY(Registres!C$2:C$500)=6)*(MONTH(Registres!C$2:C$500)=$C$2)*(YEAR(Registres!C$2:C$500)=$E$2)*(TEXT(Registres!F$2:F$500,"0")=TEXT($A32,"0")))&gt;0,"✓",""),"")</f>
        <v/>
      </c>
      <c r="J32" s="17" t="str">
        <f aca="false">IF(7&lt;=DAY(EOMONTH(DATE($E$2,$C$2,1),0)),IF(SUMPRODUCT((DAY(Registres!C$2:C$500)=7)*(MONTH(Registres!C$2:C$500)=$C$2)*(YEAR(Registres!C$2:C$500)=$E$2)*(TEXT(Registres!F$2:F$500,"0")=TEXT($A32,"0")))&gt;0,"✓",""),"")</f>
        <v/>
      </c>
      <c r="K32" s="17" t="str">
        <f aca="false">IF(8&lt;=DAY(EOMONTH(DATE($E$2,$C$2,1),0)),IF(SUMPRODUCT((DAY(Registres!C$2:C$500)=8)*(MONTH(Registres!C$2:C$500)=$C$2)*(YEAR(Registres!C$2:C$500)=$E$2)*(TEXT(Registres!F$2:F$500,"0")=TEXT($A32,"0")))&gt;0,"✓",""),"")</f>
        <v/>
      </c>
      <c r="L32" s="17" t="str">
        <f aca="false">IF(9&lt;=DAY(EOMONTH(DATE($E$2,$C$2,1),0)),IF(SUMPRODUCT((DAY(Registres!C$2:C$500)=9)*(MONTH(Registres!C$2:C$500)=$C$2)*(YEAR(Registres!C$2:C$500)=$E$2)*(TEXT(Registres!F$2:F$500,"0")=TEXT($A32,"0")))&gt;0,"✓",""),"")</f>
        <v/>
      </c>
      <c r="M32" s="17" t="str">
        <f aca="false">IF(10&lt;=DAY(EOMONTH(DATE($E$2,$C$2,1),0)),IF(SUMPRODUCT((DAY(Registres!C$2:C$500)=10)*(MONTH(Registres!C$2:C$500)=$C$2)*(YEAR(Registres!C$2:C$500)=$E$2)*(TEXT(Registres!F$2:F$500,"0")=TEXT($A32,"0")))&gt;0,"✓",""),"")</f>
        <v/>
      </c>
      <c r="N32" s="17" t="str">
        <f aca="false">IF(11&lt;=DAY(EOMONTH(DATE($E$2,$C$2,1),0)),IF(SUMPRODUCT((DAY(Registres!C$2:C$500)=11)*(MONTH(Registres!C$2:C$500)=$C$2)*(YEAR(Registres!C$2:C$500)=$E$2)*(TEXT(Registres!F$2:F$500,"0")=TEXT($A32,"0")))&gt;0,"✓",""),"")</f>
        <v/>
      </c>
      <c r="O32" s="17" t="str">
        <f aca="false">IF(12&lt;=DAY(EOMONTH(DATE($E$2,$C$2,1),0)),IF(SUMPRODUCT((DAY(Registres!C$2:C$500)=12)*(MONTH(Registres!C$2:C$500)=$C$2)*(YEAR(Registres!C$2:C$500)=$E$2)*(TEXT(Registres!F$2:F$500,"0")=TEXT($A32,"0")))&gt;0,"✓",""),"")</f>
        <v/>
      </c>
      <c r="P32" s="17" t="str">
        <f aca="false">IF(13&lt;=DAY(EOMONTH(DATE($E$2,$C$2,1),0)),IF(SUMPRODUCT((DAY(Registres!C$2:C$500)=13)*(MONTH(Registres!C$2:C$500)=$C$2)*(YEAR(Registres!C$2:C$500)=$E$2)*(TEXT(Registres!F$2:F$500,"0")=TEXT($A32,"0")))&gt;0,"✓",""),"")</f>
        <v/>
      </c>
      <c r="Q32" s="17" t="str">
        <f aca="false">IF(14&lt;=DAY(EOMONTH(DATE($E$2,$C$2,1),0)),IF(SUMPRODUCT((DAY(Registres!C$2:C$500)=14)*(MONTH(Registres!C$2:C$500)=$C$2)*(YEAR(Registres!C$2:C$500)=$E$2)*(TEXT(Registres!F$2:F$500,"0")=TEXT($A32,"0")))&gt;0,"✓",""),"")</f>
        <v/>
      </c>
      <c r="R32" s="17" t="str">
        <f aca="false">IF(15&lt;=DAY(EOMONTH(DATE($E$2,$C$2,1),0)),IF(SUMPRODUCT((DAY(Registres!C$2:C$500)=15)*(MONTH(Registres!C$2:C$500)=$C$2)*(YEAR(Registres!C$2:C$500)=$E$2)*(TEXT(Registres!F$2:F$500,"0")=TEXT($A32,"0")))&gt;0,"✓",""),"")</f>
        <v/>
      </c>
      <c r="S32" s="17" t="str">
        <f aca="false">IF(16&lt;=DAY(EOMONTH(DATE($E$2,$C$2,1),0)),IF(SUMPRODUCT((DAY(Registres!C$2:C$500)=16)*(MONTH(Registres!C$2:C$500)=$C$2)*(YEAR(Registres!C$2:C$500)=$E$2)*(TEXT(Registres!F$2:F$500,"0")=TEXT($A32,"0")))&gt;0,"✓",""),"")</f>
        <v/>
      </c>
      <c r="T32" s="17" t="str">
        <f aca="false">IF(17&lt;=DAY(EOMONTH(DATE($E$2,$C$2,1),0)),IF(SUMPRODUCT((DAY(Registres!C$2:C$500)=17)*(MONTH(Registres!C$2:C$500)=$C$2)*(YEAR(Registres!C$2:C$500)=$E$2)*(TEXT(Registres!F$2:F$500,"0")=TEXT($A32,"0")))&gt;0,"✓",""),"")</f>
        <v/>
      </c>
      <c r="U32" s="17" t="str">
        <f aca="false">IF(18&lt;=DAY(EOMONTH(DATE($E$2,$C$2,1),0)),IF(SUMPRODUCT((DAY(Registres!C$2:C$500)=18)*(MONTH(Registres!C$2:C$500)=$C$2)*(YEAR(Registres!C$2:C$500)=$E$2)*(TEXT(Registres!F$2:F$500,"0")=TEXT($A32,"0")))&gt;0,"✓",""),"")</f>
        <v/>
      </c>
      <c r="V32" s="17" t="str">
        <f aca="false">IF(19&lt;=DAY(EOMONTH(DATE($E$2,$C$2,1),0)),IF(SUMPRODUCT((DAY(Registres!C$2:C$500)=19)*(MONTH(Registres!C$2:C$500)=$C$2)*(YEAR(Registres!C$2:C$500)=$E$2)*(TEXT(Registres!F$2:F$500,"0")=TEXT($A32,"0")))&gt;0,"✓",""),"")</f>
        <v/>
      </c>
      <c r="W32" s="17" t="str">
        <f aca="false">IF(20&lt;=DAY(EOMONTH(DATE($E$2,$C$2,1),0)),IF(SUMPRODUCT((DAY(Registres!C$2:C$500)=20)*(MONTH(Registres!C$2:C$500)=$C$2)*(YEAR(Registres!C$2:C$500)=$E$2)*(TEXT(Registres!F$2:F$500,"0")=TEXT($A32,"0")))&gt;0,"✓",""),"")</f>
        <v/>
      </c>
      <c r="X32" s="17" t="str">
        <f aca="false">IF(21&lt;=DAY(EOMONTH(DATE($E$2,$C$2,1),0)),IF(SUMPRODUCT((DAY(Registres!C$2:C$500)=21)*(MONTH(Registres!C$2:C$500)=$C$2)*(YEAR(Registres!C$2:C$500)=$E$2)*(TEXT(Registres!F$2:F$500,"0")=TEXT($A32,"0")))&gt;0,"✓",""),"")</f>
        <v/>
      </c>
      <c r="Y32" s="17" t="str">
        <f aca="false">IF(22&lt;=DAY(EOMONTH(DATE($E$2,$C$2,1),0)),IF(SUMPRODUCT((DAY(Registres!C$2:C$500)=22)*(MONTH(Registres!C$2:C$500)=$C$2)*(YEAR(Registres!C$2:C$500)=$E$2)*(TEXT(Registres!F$2:F$500,"0")=TEXT($A32,"0")))&gt;0,"✓",""),"")</f>
        <v/>
      </c>
      <c r="Z32" s="17" t="str">
        <f aca="false">IF(23&lt;=DAY(EOMONTH(DATE($E$2,$C$2,1),0)),IF(SUMPRODUCT((DAY(Registres!C$2:C$500)=23)*(MONTH(Registres!C$2:C$500)=$C$2)*(YEAR(Registres!C$2:C$500)=$E$2)*(TEXT(Registres!F$2:F$500,"0")=TEXT($A32,"0")))&gt;0,"✓",""),"")</f>
        <v/>
      </c>
      <c r="AA32" s="17" t="str">
        <f aca="false">IF(24&lt;=DAY(EOMONTH(DATE($E$2,$C$2,1),0)),IF(SUMPRODUCT((DAY(Registres!C$2:C$500)=24)*(MONTH(Registres!C$2:C$500)=$C$2)*(YEAR(Registres!C$2:C$500)=$E$2)*(TEXT(Registres!F$2:F$500,"0")=TEXT($A32,"0")))&gt;0,"✓",""),"")</f>
        <v/>
      </c>
      <c r="AB32" s="17" t="str">
        <f aca="false">IF(25&lt;=DAY(EOMONTH(DATE($E$2,$C$2,1),0)),IF(SUMPRODUCT((DAY(Registres!C$2:C$500)=25)*(MONTH(Registres!C$2:C$500)=$C$2)*(YEAR(Registres!C$2:C$500)=$E$2)*(TEXT(Registres!F$2:F$500,"0")=TEXT($A32,"0")))&gt;0,"✓",""),"")</f>
        <v/>
      </c>
      <c r="AC32" s="17" t="str">
        <f aca="false">IF(26&lt;=DAY(EOMONTH(DATE($E$2,$C$2,1),0)),IF(SUMPRODUCT((DAY(Registres!C$2:C$500)=26)*(MONTH(Registres!C$2:C$500)=$C$2)*(YEAR(Registres!C$2:C$500)=$E$2)*(TEXT(Registres!F$2:F$500,"0")=TEXT($A32,"0")))&gt;0,"✓",""),"")</f>
        <v/>
      </c>
      <c r="AD32" s="17" t="str">
        <f aca="false">IF(27&lt;=DAY(EOMONTH(DATE($E$2,$C$2,1),0)),IF(SUMPRODUCT((DAY(Registres!C$2:C$500)=27)*(MONTH(Registres!C$2:C$500)=$C$2)*(YEAR(Registres!C$2:C$500)=$E$2)*(TEXT(Registres!F$2:F$500,"0")=TEXT($A32,"0")))&gt;0,"✓",""),"")</f>
        <v/>
      </c>
      <c r="AE32" s="17" t="str">
        <f aca="false">IF(28&lt;=DAY(EOMONTH(DATE($E$2,$C$2,1),0)),IF(SUMPRODUCT((DAY(Registres!C$2:C$500)=28)*(MONTH(Registres!C$2:C$500)=$C$2)*(YEAR(Registres!C$2:C$500)=$E$2)*(TEXT(Registres!F$2:F$500,"0")=TEXT($A32,"0")))&gt;0,"✓",""),"")</f>
        <v/>
      </c>
      <c r="AF32" s="17" t="str">
        <f aca="false">IF(29&lt;=DAY(EOMONTH(DATE($E$2,$C$2,1),0)),IF(SUMPRODUCT((DAY(Registres!C$2:C$500)=29)*(MONTH(Registres!C$2:C$500)=$C$2)*(YEAR(Registres!C$2:C$500)=$E$2)*(TEXT(Registres!F$2:F$500,"0")=TEXT($A32,"0")))&gt;0,"✓",""),"")</f>
        <v/>
      </c>
      <c r="AG32" s="17" t="str">
        <f aca="false">IF(30&lt;=DAY(EOMONTH(DATE($E$2,$C$2,1),0)),IF(SUMPRODUCT((DAY(Registres!C$2:C$500)=30)*(MONTH(Registres!C$2:C$500)=$C$2)*(YEAR(Registres!C$2:C$500)=$E$2)*(TEXT(Registres!F$2:F$500,"0")=TEXT($A32,"0")))&gt;0,"✓",""),"")</f>
        <v/>
      </c>
      <c r="AH32" s="17" t="str">
        <f aca="false">IF(31&lt;=DAY(EOMONTH(DATE($E$2,$C$2,1),0)),IF(SUMPRODUCT((DAY(Registres!C$2:C$500)=31)*(MONTH(Registres!C$2:C$500)=$C$2)*(YEAR(Registres!C$2:C$500)=$E$2)*(TEXT(Registres!F$2:F$500,"0")=TEXT($A32,"0")))&gt;0,"✓",""),"")</f>
        <v/>
      </c>
      <c r="AI32" s="18" t="n">
        <f aca="false">COUNTIF(D32:AH32,"✓")</f>
        <v>0</v>
      </c>
    </row>
    <row r="33" customFormat="false" ht="15" hidden="false" customHeight="false" outlineLevel="0" collapsed="false">
      <c r="A33" s="14" t="n">
        <v>29</v>
      </c>
      <c r="B33" s="15" t="s">
        <v>143</v>
      </c>
      <c r="C33" s="16" t="s">
        <v>136</v>
      </c>
      <c r="D33" s="17" t="str">
        <f aca="false">IF(1&lt;=DAY(EOMONTH(DATE($E$2,$C$2,1),0)),IF(SUMPRODUCT((DAY(Registres!C$2:C$500)=1)*(MONTH(Registres!C$2:C$500)=$C$2)*(YEAR(Registres!C$2:C$500)=$E$2)*(TEXT(Registres!F$2:F$500,"0")=TEXT($A33,"0")))&gt;0,"✓",""),"")</f>
        <v/>
      </c>
      <c r="E33" s="17" t="str">
        <f aca="false">IF(2&lt;=DAY(EOMONTH(DATE($E$2,$C$2,1),0)),IF(SUMPRODUCT((DAY(Registres!C$2:C$500)=2)*(MONTH(Registres!C$2:C$500)=$C$2)*(YEAR(Registres!C$2:C$500)=$E$2)*(TEXT(Registres!F$2:F$500,"0")=TEXT($A33,"0")))&gt;0,"✓",""),"")</f>
        <v/>
      </c>
      <c r="F33" s="17" t="str">
        <f aca="false">IF(3&lt;=DAY(EOMONTH(DATE($E$2,$C$2,1),0)),IF(SUMPRODUCT((DAY(Registres!C$2:C$500)=3)*(MONTH(Registres!C$2:C$500)=$C$2)*(YEAR(Registres!C$2:C$500)=$E$2)*(TEXT(Registres!F$2:F$500,"0")=TEXT($A33,"0")))&gt;0,"✓",""),"")</f>
        <v/>
      </c>
      <c r="G33" s="17" t="str">
        <f aca="false">IF(4&lt;=DAY(EOMONTH(DATE($E$2,$C$2,1),0)),IF(SUMPRODUCT((DAY(Registres!C$2:C$500)=4)*(MONTH(Registres!C$2:C$500)=$C$2)*(YEAR(Registres!C$2:C$500)=$E$2)*(TEXT(Registres!F$2:F$500,"0")=TEXT($A33,"0")))&gt;0,"✓",""),"")</f>
        <v/>
      </c>
      <c r="H33" s="17" t="str">
        <f aca="false">IF(5&lt;=DAY(EOMONTH(DATE($E$2,$C$2,1),0)),IF(SUMPRODUCT((DAY(Registres!C$2:C$500)=5)*(MONTH(Registres!C$2:C$500)=$C$2)*(YEAR(Registres!C$2:C$500)=$E$2)*(TEXT(Registres!F$2:F$500,"0")=TEXT($A33,"0")))&gt;0,"✓",""),"")</f>
        <v/>
      </c>
      <c r="I33" s="17" t="str">
        <f aca="false">IF(6&lt;=DAY(EOMONTH(DATE($E$2,$C$2,1),0)),IF(SUMPRODUCT((DAY(Registres!C$2:C$500)=6)*(MONTH(Registres!C$2:C$500)=$C$2)*(YEAR(Registres!C$2:C$500)=$E$2)*(TEXT(Registres!F$2:F$500,"0")=TEXT($A33,"0")))&gt;0,"✓",""),"")</f>
        <v/>
      </c>
      <c r="J33" s="17" t="str">
        <f aca="false">IF(7&lt;=DAY(EOMONTH(DATE($E$2,$C$2,1),0)),IF(SUMPRODUCT((DAY(Registres!C$2:C$500)=7)*(MONTH(Registres!C$2:C$500)=$C$2)*(YEAR(Registres!C$2:C$500)=$E$2)*(TEXT(Registres!F$2:F$500,"0")=TEXT($A33,"0")))&gt;0,"✓",""),"")</f>
        <v/>
      </c>
      <c r="K33" s="17" t="str">
        <f aca="false">IF(8&lt;=DAY(EOMONTH(DATE($E$2,$C$2,1),0)),IF(SUMPRODUCT((DAY(Registres!C$2:C$500)=8)*(MONTH(Registres!C$2:C$500)=$C$2)*(YEAR(Registres!C$2:C$500)=$E$2)*(TEXT(Registres!F$2:F$500,"0")=TEXT($A33,"0")))&gt;0,"✓",""),"")</f>
        <v/>
      </c>
      <c r="L33" s="17" t="str">
        <f aca="false">IF(9&lt;=DAY(EOMONTH(DATE($E$2,$C$2,1),0)),IF(SUMPRODUCT((DAY(Registres!C$2:C$500)=9)*(MONTH(Registres!C$2:C$500)=$C$2)*(YEAR(Registres!C$2:C$500)=$E$2)*(TEXT(Registres!F$2:F$500,"0")=TEXT($A33,"0")))&gt;0,"✓",""),"")</f>
        <v/>
      </c>
      <c r="M33" s="17" t="str">
        <f aca="false">IF(10&lt;=DAY(EOMONTH(DATE($E$2,$C$2,1),0)),IF(SUMPRODUCT((DAY(Registres!C$2:C$500)=10)*(MONTH(Registres!C$2:C$500)=$C$2)*(YEAR(Registres!C$2:C$500)=$E$2)*(TEXT(Registres!F$2:F$500,"0")=TEXT($A33,"0")))&gt;0,"✓",""),"")</f>
        <v/>
      </c>
      <c r="N33" s="17" t="str">
        <f aca="false">IF(11&lt;=DAY(EOMONTH(DATE($E$2,$C$2,1),0)),IF(SUMPRODUCT((DAY(Registres!C$2:C$500)=11)*(MONTH(Registres!C$2:C$500)=$C$2)*(YEAR(Registres!C$2:C$500)=$E$2)*(TEXT(Registres!F$2:F$500,"0")=TEXT($A33,"0")))&gt;0,"✓",""),"")</f>
        <v/>
      </c>
      <c r="O33" s="17" t="str">
        <f aca="false">IF(12&lt;=DAY(EOMONTH(DATE($E$2,$C$2,1),0)),IF(SUMPRODUCT((DAY(Registres!C$2:C$500)=12)*(MONTH(Registres!C$2:C$500)=$C$2)*(YEAR(Registres!C$2:C$500)=$E$2)*(TEXT(Registres!F$2:F$500,"0")=TEXT($A33,"0")))&gt;0,"✓",""),"")</f>
        <v/>
      </c>
      <c r="P33" s="17" t="str">
        <f aca="false">IF(13&lt;=DAY(EOMONTH(DATE($E$2,$C$2,1),0)),IF(SUMPRODUCT((DAY(Registres!C$2:C$500)=13)*(MONTH(Registres!C$2:C$500)=$C$2)*(YEAR(Registres!C$2:C$500)=$E$2)*(TEXT(Registres!F$2:F$500,"0")=TEXT($A33,"0")))&gt;0,"✓",""),"")</f>
        <v/>
      </c>
      <c r="Q33" s="17" t="str">
        <f aca="false">IF(14&lt;=DAY(EOMONTH(DATE($E$2,$C$2,1),0)),IF(SUMPRODUCT((DAY(Registres!C$2:C$500)=14)*(MONTH(Registres!C$2:C$500)=$C$2)*(YEAR(Registres!C$2:C$500)=$E$2)*(TEXT(Registres!F$2:F$500,"0")=TEXT($A33,"0")))&gt;0,"✓",""),"")</f>
        <v/>
      </c>
      <c r="R33" s="17" t="str">
        <f aca="false">IF(15&lt;=DAY(EOMONTH(DATE($E$2,$C$2,1),0)),IF(SUMPRODUCT((DAY(Registres!C$2:C$500)=15)*(MONTH(Registres!C$2:C$500)=$C$2)*(YEAR(Registres!C$2:C$500)=$E$2)*(TEXT(Registres!F$2:F$500,"0")=TEXT($A33,"0")))&gt;0,"✓",""),"")</f>
        <v/>
      </c>
      <c r="S33" s="17" t="str">
        <f aca="false">IF(16&lt;=DAY(EOMONTH(DATE($E$2,$C$2,1),0)),IF(SUMPRODUCT((DAY(Registres!C$2:C$500)=16)*(MONTH(Registres!C$2:C$500)=$C$2)*(YEAR(Registres!C$2:C$500)=$E$2)*(TEXT(Registres!F$2:F$500,"0")=TEXT($A33,"0")))&gt;0,"✓",""),"")</f>
        <v/>
      </c>
      <c r="T33" s="17" t="str">
        <f aca="false">IF(17&lt;=DAY(EOMONTH(DATE($E$2,$C$2,1),0)),IF(SUMPRODUCT((DAY(Registres!C$2:C$500)=17)*(MONTH(Registres!C$2:C$500)=$C$2)*(YEAR(Registres!C$2:C$500)=$E$2)*(TEXT(Registres!F$2:F$500,"0")=TEXT($A33,"0")))&gt;0,"✓",""),"")</f>
        <v/>
      </c>
      <c r="U33" s="17" t="str">
        <f aca="false">IF(18&lt;=DAY(EOMONTH(DATE($E$2,$C$2,1),0)),IF(SUMPRODUCT((DAY(Registres!C$2:C$500)=18)*(MONTH(Registres!C$2:C$500)=$C$2)*(YEAR(Registres!C$2:C$500)=$E$2)*(TEXT(Registres!F$2:F$500,"0")=TEXT($A33,"0")))&gt;0,"✓",""),"")</f>
        <v/>
      </c>
      <c r="V33" s="17" t="str">
        <f aca="false">IF(19&lt;=DAY(EOMONTH(DATE($E$2,$C$2,1),0)),IF(SUMPRODUCT((DAY(Registres!C$2:C$500)=19)*(MONTH(Registres!C$2:C$500)=$C$2)*(YEAR(Registres!C$2:C$500)=$E$2)*(TEXT(Registres!F$2:F$500,"0")=TEXT($A33,"0")))&gt;0,"✓",""),"")</f>
        <v/>
      </c>
      <c r="W33" s="17" t="str">
        <f aca="false">IF(20&lt;=DAY(EOMONTH(DATE($E$2,$C$2,1),0)),IF(SUMPRODUCT((DAY(Registres!C$2:C$500)=20)*(MONTH(Registres!C$2:C$500)=$C$2)*(YEAR(Registres!C$2:C$500)=$E$2)*(TEXT(Registres!F$2:F$500,"0")=TEXT($A33,"0")))&gt;0,"✓",""),"")</f>
        <v/>
      </c>
      <c r="X33" s="17" t="str">
        <f aca="false">IF(21&lt;=DAY(EOMONTH(DATE($E$2,$C$2,1),0)),IF(SUMPRODUCT((DAY(Registres!C$2:C$500)=21)*(MONTH(Registres!C$2:C$500)=$C$2)*(YEAR(Registres!C$2:C$500)=$E$2)*(TEXT(Registres!F$2:F$500,"0")=TEXT($A33,"0")))&gt;0,"✓",""),"")</f>
        <v/>
      </c>
      <c r="Y33" s="17" t="str">
        <f aca="false">IF(22&lt;=DAY(EOMONTH(DATE($E$2,$C$2,1),0)),IF(SUMPRODUCT((DAY(Registres!C$2:C$500)=22)*(MONTH(Registres!C$2:C$500)=$C$2)*(YEAR(Registres!C$2:C$500)=$E$2)*(TEXT(Registres!F$2:F$500,"0")=TEXT($A33,"0")))&gt;0,"✓",""),"")</f>
        <v/>
      </c>
      <c r="Z33" s="17" t="str">
        <f aca="false">IF(23&lt;=DAY(EOMONTH(DATE($E$2,$C$2,1),0)),IF(SUMPRODUCT((DAY(Registres!C$2:C$500)=23)*(MONTH(Registres!C$2:C$500)=$C$2)*(YEAR(Registres!C$2:C$500)=$E$2)*(TEXT(Registres!F$2:F$500,"0")=TEXT($A33,"0")))&gt;0,"✓",""),"")</f>
        <v/>
      </c>
      <c r="AA33" s="17" t="str">
        <f aca="false">IF(24&lt;=DAY(EOMONTH(DATE($E$2,$C$2,1),0)),IF(SUMPRODUCT((DAY(Registres!C$2:C$500)=24)*(MONTH(Registres!C$2:C$500)=$C$2)*(YEAR(Registres!C$2:C$500)=$E$2)*(TEXT(Registres!F$2:F$500,"0")=TEXT($A33,"0")))&gt;0,"✓",""),"")</f>
        <v/>
      </c>
      <c r="AB33" s="17" t="str">
        <f aca="false">IF(25&lt;=DAY(EOMONTH(DATE($E$2,$C$2,1),0)),IF(SUMPRODUCT((DAY(Registres!C$2:C$500)=25)*(MONTH(Registres!C$2:C$500)=$C$2)*(YEAR(Registres!C$2:C$500)=$E$2)*(TEXT(Registres!F$2:F$500,"0")=TEXT($A33,"0")))&gt;0,"✓",""),"")</f>
        <v/>
      </c>
      <c r="AC33" s="17" t="str">
        <f aca="false">IF(26&lt;=DAY(EOMONTH(DATE($E$2,$C$2,1),0)),IF(SUMPRODUCT((DAY(Registres!C$2:C$500)=26)*(MONTH(Registres!C$2:C$500)=$C$2)*(YEAR(Registres!C$2:C$500)=$E$2)*(TEXT(Registres!F$2:F$500,"0")=TEXT($A33,"0")))&gt;0,"✓",""),"")</f>
        <v/>
      </c>
      <c r="AD33" s="17" t="str">
        <f aca="false">IF(27&lt;=DAY(EOMONTH(DATE($E$2,$C$2,1),0)),IF(SUMPRODUCT((DAY(Registres!C$2:C$500)=27)*(MONTH(Registres!C$2:C$500)=$C$2)*(YEAR(Registres!C$2:C$500)=$E$2)*(TEXT(Registres!F$2:F$500,"0")=TEXT($A33,"0")))&gt;0,"✓",""),"")</f>
        <v/>
      </c>
      <c r="AE33" s="17" t="str">
        <f aca="false">IF(28&lt;=DAY(EOMONTH(DATE($E$2,$C$2,1),0)),IF(SUMPRODUCT((DAY(Registres!C$2:C$500)=28)*(MONTH(Registres!C$2:C$500)=$C$2)*(YEAR(Registres!C$2:C$500)=$E$2)*(TEXT(Registres!F$2:F$500,"0")=TEXT($A33,"0")))&gt;0,"✓",""),"")</f>
        <v/>
      </c>
      <c r="AF33" s="17" t="str">
        <f aca="false">IF(29&lt;=DAY(EOMONTH(DATE($E$2,$C$2,1),0)),IF(SUMPRODUCT((DAY(Registres!C$2:C$500)=29)*(MONTH(Registres!C$2:C$500)=$C$2)*(YEAR(Registres!C$2:C$500)=$E$2)*(TEXT(Registres!F$2:F$500,"0")=TEXT($A33,"0")))&gt;0,"✓",""),"")</f>
        <v/>
      </c>
      <c r="AG33" s="17" t="str">
        <f aca="false">IF(30&lt;=DAY(EOMONTH(DATE($E$2,$C$2,1),0)),IF(SUMPRODUCT((DAY(Registres!C$2:C$500)=30)*(MONTH(Registres!C$2:C$500)=$C$2)*(YEAR(Registres!C$2:C$500)=$E$2)*(TEXT(Registres!F$2:F$500,"0")=TEXT($A33,"0")))&gt;0,"✓",""),"")</f>
        <v/>
      </c>
      <c r="AH33" s="17" t="str">
        <f aca="false">IF(31&lt;=DAY(EOMONTH(DATE($E$2,$C$2,1),0)),IF(SUMPRODUCT((DAY(Registres!C$2:C$500)=31)*(MONTH(Registres!C$2:C$500)=$C$2)*(YEAR(Registres!C$2:C$500)=$E$2)*(TEXT(Registres!F$2:F$500,"0")=TEXT($A33,"0")))&gt;0,"✓",""),"")</f>
        <v/>
      </c>
      <c r="AI33" s="18" t="n">
        <f aca="false">COUNTIF(D33:AH33,"✓")</f>
        <v>0</v>
      </c>
    </row>
    <row r="34" customFormat="false" ht="15" hidden="false" customHeight="false" outlineLevel="0" collapsed="false">
      <c r="A34" s="19" t="n">
        <v>30</v>
      </c>
      <c r="B34" s="20" t="s">
        <v>144</v>
      </c>
      <c r="C34" s="21" t="s">
        <v>145</v>
      </c>
      <c r="D34" s="17" t="str">
        <f aca="false">IF(1&lt;=DAY(EOMONTH(DATE($E$2,$C$2,1),0)),IF(SUMPRODUCT((DAY(Registres!C$2:C$500)=1)*(MONTH(Registres!C$2:C$500)=$C$2)*(YEAR(Registres!C$2:C$500)=$E$2)*(TEXT(Registres!F$2:F$500,"0")=TEXT($A34,"0")))&gt;0,"✓",""),"")</f>
        <v/>
      </c>
      <c r="E34" s="17" t="str">
        <f aca="false">IF(2&lt;=DAY(EOMONTH(DATE($E$2,$C$2,1),0)),IF(SUMPRODUCT((DAY(Registres!C$2:C$500)=2)*(MONTH(Registres!C$2:C$500)=$C$2)*(YEAR(Registres!C$2:C$500)=$E$2)*(TEXT(Registres!F$2:F$500,"0")=TEXT($A34,"0")))&gt;0,"✓",""),"")</f>
        <v/>
      </c>
      <c r="F34" s="17" t="str">
        <f aca="false">IF(3&lt;=DAY(EOMONTH(DATE($E$2,$C$2,1),0)),IF(SUMPRODUCT((DAY(Registres!C$2:C$500)=3)*(MONTH(Registres!C$2:C$500)=$C$2)*(YEAR(Registres!C$2:C$500)=$E$2)*(TEXT(Registres!F$2:F$500,"0")=TEXT($A34,"0")))&gt;0,"✓",""),"")</f>
        <v/>
      </c>
      <c r="G34" s="17" t="str">
        <f aca="false">IF(4&lt;=DAY(EOMONTH(DATE($E$2,$C$2,1),0)),IF(SUMPRODUCT((DAY(Registres!C$2:C$500)=4)*(MONTH(Registres!C$2:C$500)=$C$2)*(YEAR(Registres!C$2:C$500)=$E$2)*(TEXT(Registres!F$2:F$500,"0")=TEXT($A34,"0")))&gt;0,"✓",""),"")</f>
        <v/>
      </c>
      <c r="H34" s="17" t="str">
        <f aca="false">IF(5&lt;=DAY(EOMONTH(DATE($E$2,$C$2,1),0)),IF(SUMPRODUCT((DAY(Registres!C$2:C$500)=5)*(MONTH(Registres!C$2:C$500)=$C$2)*(YEAR(Registres!C$2:C$500)=$E$2)*(TEXT(Registres!F$2:F$500,"0")=TEXT($A34,"0")))&gt;0,"✓",""),"")</f>
        <v/>
      </c>
      <c r="I34" s="17" t="str">
        <f aca="false">IF(6&lt;=DAY(EOMONTH(DATE($E$2,$C$2,1),0)),IF(SUMPRODUCT((DAY(Registres!C$2:C$500)=6)*(MONTH(Registres!C$2:C$500)=$C$2)*(YEAR(Registres!C$2:C$500)=$E$2)*(TEXT(Registres!F$2:F$500,"0")=TEXT($A34,"0")))&gt;0,"✓",""),"")</f>
        <v/>
      </c>
      <c r="J34" s="17" t="str">
        <f aca="false">IF(7&lt;=DAY(EOMONTH(DATE($E$2,$C$2,1),0)),IF(SUMPRODUCT((DAY(Registres!C$2:C$500)=7)*(MONTH(Registres!C$2:C$500)=$C$2)*(YEAR(Registres!C$2:C$500)=$E$2)*(TEXT(Registres!F$2:F$500,"0")=TEXT($A34,"0")))&gt;0,"✓",""),"")</f>
        <v/>
      </c>
      <c r="K34" s="17" t="str">
        <f aca="false">IF(8&lt;=DAY(EOMONTH(DATE($E$2,$C$2,1),0)),IF(SUMPRODUCT((DAY(Registres!C$2:C$500)=8)*(MONTH(Registres!C$2:C$500)=$C$2)*(YEAR(Registres!C$2:C$500)=$E$2)*(TEXT(Registres!F$2:F$500,"0")=TEXT($A34,"0")))&gt;0,"✓",""),"")</f>
        <v/>
      </c>
      <c r="L34" s="17" t="str">
        <f aca="false">IF(9&lt;=DAY(EOMONTH(DATE($E$2,$C$2,1),0)),IF(SUMPRODUCT((DAY(Registres!C$2:C$500)=9)*(MONTH(Registres!C$2:C$500)=$C$2)*(YEAR(Registres!C$2:C$500)=$E$2)*(TEXT(Registres!F$2:F$500,"0")=TEXT($A34,"0")))&gt;0,"✓",""),"")</f>
        <v/>
      </c>
      <c r="M34" s="17" t="str">
        <f aca="false">IF(10&lt;=DAY(EOMONTH(DATE($E$2,$C$2,1),0)),IF(SUMPRODUCT((DAY(Registres!C$2:C$500)=10)*(MONTH(Registres!C$2:C$500)=$C$2)*(YEAR(Registres!C$2:C$500)=$E$2)*(TEXT(Registres!F$2:F$500,"0")=TEXT($A34,"0")))&gt;0,"✓",""),"")</f>
        <v/>
      </c>
      <c r="N34" s="17" t="str">
        <f aca="false">IF(11&lt;=DAY(EOMONTH(DATE($E$2,$C$2,1),0)),IF(SUMPRODUCT((DAY(Registres!C$2:C$500)=11)*(MONTH(Registres!C$2:C$500)=$C$2)*(YEAR(Registres!C$2:C$500)=$E$2)*(TEXT(Registres!F$2:F$500,"0")=TEXT($A34,"0")))&gt;0,"✓",""),"")</f>
        <v/>
      </c>
      <c r="O34" s="17" t="str">
        <f aca="false">IF(12&lt;=DAY(EOMONTH(DATE($E$2,$C$2,1),0)),IF(SUMPRODUCT((DAY(Registres!C$2:C$500)=12)*(MONTH(Registres!C$2:C$500)=$C$2)*(YEAR(Registres!C$2:C$500)=$E$2)*(TEXT(Registres!F$2:F$500,"0")=TEXT($A34,"0")))&gt;0,"✓",""),"")</f>
        <v/>
      </c>
      <c r="P34" s="17" t="str">
        <f aca="false">IF(13&lt;=DAY(EOMONTH(DATE($E$2,$C$2,1),0)),IF(SUMPRODUCT((DAY(Registres!C$2:C$500)=13)*(MONTH(Registres!C$2:C$500)=$C$2)*(YEAR(Registres!C$2:C$500)=$E$2)*(TEXT(Registres!F$2:F$500,"0")=TEXT($A34,"0")))&gt;0,"✓",""),"")</f>
        <v/>
      </c>
      <c r="Q34" s="17" t="str">
        <f aca="false">IF(14&lt;=DAY(EOMONTH(DATE($E$2,$C$2,1),0)),IF(SUMPRODUCT((DAY(Registres!C$2:C$500)=14)*(MONTH(Registres!C$2:C$500)=$C$2)*(YEAR(Registres!C$2:C$500)=$E$2)*(TEXT(Registres!F$2:F$500,"0")=TEXT($A34,"0")))&gt;0,"✓",""),"")</f>
        <v/>
      </c>
      <c r="R34" s="17" t="str">
        <f aca="false">IF(15&lt;=DAY(EOMONTH(DATE($E$2,$C$2,1),0)),IF(SUMPRODUCT((DAY(Registres!C$2:C$500)=15)*(MONTH(Registres!C$2:C$500)=$C$2)*(YEAR(Registres!C$2:C$500)=$E$2)*(TEXT(Registres!F$2:F$500,"0")=TEXT($A34,"0")))&gt;0,"✓",""),"")</f>
        <v/>
      </c>
      <c r="S34" s="17" t="str">
        <f aca="false">IF(16&lt;=DAY(EOMONTH(DATE($E$2,$C$2,1),0)),IF(SUMPRODUCT((DAY(Registres!C$2:C$500)=16)*(MONTH(Registres!C$2:C$500)=$C$2)*(YEAR(Registres!C$2:C$500)=$E$2)*(TEXT(Registres!F$2:F$500,"0")=TEXT($A34,"0")))&gt;0,"✓",""),"")</f>
        <v/>
      </c>
      <c r="T34" s="17" t="str">
        <f aca="false">IF(17&lt;=DAY(EOMONTH(DATE($E$2,$C$2,1),0)),IF(SUMPRODUCT((DAY(Registres!C$2:C$500)=17)*(MONTH(Registres!C$2:C$500)=$C$2)*(YEAR(Registres!C$2:C$500)=$E$2)*(TEXT(Registres!F$2:F$500,"0")=TEXT($A34,"0")))&gt;0,"✓",""),"")</f>
        <v/>
      </c>
      <c r="U34" s="17" t="str">
        <f aca="false">IF(18&lt;=DAY(EOMONTH(DATE($E$2,$C$2,1),0)),IF(SUMPRODUCT((DAY(Registres!C$2:C$500)=18)*(MONTH(Registres!C$2:C$500)=$C$2)*(YEAR(Registres!C$2:C$500)=$E$2)*(TEXT(Registres!F$2:F$500,"0")=TEXT($A34,"0")))&gt;0,"✓",""),"")</f>
        <v/>
      </c>
      <c r="V34" s="17" t="str">
        <f aca="false">IF(19&lt;=DAY(EOMONTH(DATE($E$2,$C$2,1),0)),IF(SUMPRODUCT((DAY(Registres!C$2:C$500)=19)*(MONTH(Registres!C$2:C$500)=$C$2)*(YEAR(Registres!C$2:C$500)=$E$2)*(TEXT(Registres!F$2:F$500,"0")=TEXT($A34,"0")))&gt;0,"✓",""),"")</f>
        <v/>
      </c>
      <c r="W34" s="17" t="str">
        <f aca="false">IF(20&lt;=DAY(EOMONTH(DATE($E$2,$C$2,1),0)),IF(SUMPRODUCT((DAY(Registres!C$2:C$500)=20)*(MONTH(Registres!C$2:C$500)=$C$2)*(YEAR(Registres!C$2:C$500)=$E$2)*(TEXT(Registres!F$2:F$500,"0")=TEXT($A34,"0")))&gt;0,"✓",""),"")</f>
        <v/>
      </c>
      <c r="X34" s="17" t="str">
        <f aca="false">IF(21&lt;=DAY(EOMONTH(DATE($E$2,$C$2,1),0)),IF(SUMPRODUCT((DAY(Registres!C$2:C$500)=21)*(MONTH(Registres!C$2:C$500)=$C$2)*(YEAR(Registres!C$2:C$500)=$E$2)*(TEXT(Registres!F$2:F$500,"0")=TEXT($A34,"0")))&gt;0,"✓",""),"")</f>
        <v/>
      </c>
      <c r="Y34" s="17" t="str">
        <f aca="false">IF(22&lt;=DAY(EOMONTH(DATE($E$2,$C$2,1),0)),IF(SUMPRODUCT((DAY(Registres!C$2:C$500)=22)*(MONTH(Registres!C$2:C$500)=$C$2)*(YEAR(Registres!C$2:C$500)=$E$2)*(TEXT(Registres!F$2:F$500,"0")=TEXT($A34,"0")))&gt;0,"✓",""),"")</f>
        <v/>
      </c>
      <c r="Z34" s="17" t="str">
        <f aca="false">IF(23&lt;=DAY(EOMONTH(DATE($E$2,$C$2,1),0)),IF(SUMPRODUCT((DAY(Registres!C$2:C$500)=23)*(MONTH(Registres!C$2:C$500)=$C$2)*(YEAR(Registres!C$2:C$500)=$E$2)*(TEXT(Registres!F$2:F$500,"0")=TEXT($A34,"0")))&gt;0,"✓",""),"")</f>
        <v/>
      </c>
      <c r="AA34" s="17" t="str">
        <f aca="false">IF(24&lt;=DAY(EOMONTH(DATE($E$2,$C$2,1),0)),IF(SUMPRODUCT((DAY(Registres!C$2:C$500)=24)*(MONTH(Registres!C$2:C$500)=$C$2)*(YEAR(Registres!C$2:C$500)=$E$2)*(TEXT(Registres!F$2:F$500,"0")=TEXT($A34,"0")))&gt;0,"✓",""),"")</f>
        <v/>
      </c>
      <c r="AB34" s="17" t="str">
        <f aca="false">IF(25&lt;=DAY(EOMONTH(DATE($E$2,$C$2,1),0)),IF(SUMPRODUCT((DAY(Registres!C$2:C$500)=25)*(MONTH(Registres!C$2:C$500)=$C$2)*(YEAR(Registres!C$2:C$500)=$E$2)*(TEXT(Registres!F$2:F$500,"0")=TEXT($A34,"0")))&gt;0,"✓",""),"")</f>
        <v/>
      </c>
      <c r="AC34" s="17" t="str">
        <f aca="false">IF(26&lt;=DAY(EOMONTH(DATE($E$2,$C$2,1),0)),IF(SUMPRODUCT((DAY(Registres!C$2:C$500)=26)*(MONTH(Registres!C$2:C$500)=$C$2)*(YEAR(Registres!C$2:C$500)=$E$2)*(TEXT(Registres!F$2:F$500,"0")=TEXT($A34,"0")))&gt;0,"✓",""),"")</f>
        <v/>
      </c>
      <c r="AD34" s="17" t="str">
        <f aca="false">IF(27&lt;=DAY(EOMONTH(DATE($E$2,$C$2,1),0)),IF(SUMPRODUCT((DAY(Registres!C$2:C$500)=27)*(MONTH(Registres!C$2:C$500)=$C$2)*(YEAR(Registres!C$2:C$500)=$E$2)*(TEXT(Registres!F$2:F$500,"0")=TEXT($A34,"0")))&gt;0,"✓",""),"")</f>
        <v/>
      </c>
      <c r="AE34" s="17" t="str">
        <f aca="false">IF(28&lt;=DAY(EOMONTH(DATE($E$2,$C$2,1),0)),IF(SUMPRODUCT((DAY(Registres!C$2:C$500)=28)*(MONTH(Registres!C$2:C$500)=$C$2)*(YEAR(Registres!C$2:C$500)=$E$2)*(TEXT(Registres!F$2:F$500,"0")=TEXT($A34,"0")))&gt;0,"✓",""),"")</f>
        <v/>
      </c>
      <c r="AF34" s="17" t="str">
        <f aca="false">IF(29&lt;=DAY(EOMONTH(DATE($E$2,$C$2,1),0)),IF(SUMPRODUCT((DAY(Registres!C$2:C$500)=29)*(MONTH(Registres!C$2:C$500)=$C$2)*(YEAR(Registres!C$2:C$500)=$E$2)*(TEXT(Registres!F$2:F$500,"0")=TEXT($A34,"0")))&gt;0,"✓",""),"")</f>
        <v/>
      </c>
      <c r="AG34" s="17" t="str">
        <f aca="false">IF(30&lt;=DAY(EOMONTH(DATE($E$2,$C$2,1),0)),IF(SUMPRODUCT((DAY(Registres!C$2:C$500)=30)*(MONTH(Registres!C$2:C$500)=$C$2)*(YEAR(Registres!C$2:C$500)=$E$2)*(TEXT(Registres!F$2:F$500,"0")=TEXT($A34,"0")))&gt;0,"✓",""),"")</f>
        <v/>
      </c>
      <c r="AH34" s="17" t="str">
        <f aca="false">IF(31&lt;=DAY(EOMONTH(DATE($E$2,$C$2,1),0)),IF(SUMPRODUCT((DAY(Registres!C$2:C$500)=31)*(MONTH(Registres!C$2:C$500)=$C$2)*(YEAR(Registres!C$2:C$500)=$E$2)*(TEXT(Registres!F$2:F$500,"0")=TEXT($A34,"0")))&gt;0,"✓",""),"")</f>
        <v/>
      </c>
      <c r="AI34" s="18" t="n">
        <f aca="false">COUNTIF(D34:AH34,"✓")</f>
        <v>0</v>
      </c>
    </row>
    <row r="35" customFormat="false" ht="15" hidden="false" customHeight="false" outlineLevel="0" collapsed="false">
      <c r="A35" s="14" t="n">
        <v>31</v>
      </c>
      <c r="B35" s="15" t="s">
        <v>146</v>
      </c>
      <c r="C35" s="16" t="s">
        <v>145</v>
      </c>
      <c r="D35" s="17" t="str">
        <f aca="false">IF(1&lt;=DAY(EOMONTH(DATE($E$2,$C$2,1),0)),IF(SUMPRODUCT((DAY(Registres!C$2:C$500)=1)*(MONTH(Registres!C$2:C$500)=$C$2)*(YEAR(Registres!C$2:C$500)=$E$2)*(TEXT(Registres!F$2:F$500,"0")=TEXT($A35,"0")))&gt;0,"✓",""),"")</f>
        <v/>
      </c>
      <c r="E35" s="17" t="str">
        <f aca="false">IF(2&lt;=DAY(EOMONTH(DATE($E$2,$C$2,1),0)),IF(SUMPRODUCT((DAY(Registres!C$2:C$500)=2)*(MONTH(Registres!C$2:C$500)=$C$2)*(YEAR(Registres!C$2:C$500)=$E$2)*(TEXT(Registres!F$2:F$500,"0")=TEXT($A35,"0")))&gt;0,"✓",""),"")</f>
        <v/>
      </c>
      <c r="F35" s="17" t="str">
        <f aca="false">IF(3&lt;=DAY(EOMONTH(DATE($E$2,$C$2,1),0)),IF(SUMPRODUCT((DAY(Registres!C$2:C$500)=3)*(MONTH(Registres!C$2:C$500)=$C$2)*(YEAR(Registres!C$2:C$500)=$E$2)*(TEXT(Registres!F$2:F$500,"0")=TEXT($A35,"0")))&gt;0,"✓",""),"")</f>
        <v/>
      </c>
      <c r="G35" s="17" t="str">
        <f aca="false">IF(4&lt;=DAY(EOMONTH(DATE($E$2,$C$2,1),0)),IF(SUMPRODUCT((DAY(Registres!C$2:C$500)=4)*(MONTH(Registres!C$2:C$500)=$C$2)*(YEAR(Registres!C$2:C$500)=$E$2)*(TEXT(Registres!F$2:F$500,"0")=TEXT($A35,"0")))&gt;0,"✓",""),"")</f>
        <v/>
      </c>
      <c r="H35" s="17" t="str">
        <f aca="false">IF(5&lt;=DAY(EOMONTH(DATE($E$2,$C$2,1),0)),IF(SUMPRODUCT((DAY(Registres!C$2:C$500)=5)*(MONTH(Registres!C$2:C$500)=$C$2)*(YEAR(Registres!C$2:C$500)=$E$2)*(TEXT(Registres!F$2:F$500,"0")=TEXT($A35,"0")))&gt;0,"✓",""),"")</f>
        <v/>
      </c>
      <c r="I35" s="17" t="str">
        <f aca="false">IF(6&lt;=DAY(EOMONTH(DATE($E$2,$C$2,1),0)),IF(SUMPRODUCT((DAY(Registres!C$2:C$500)=6)*(MONTH(Registres!C$2:C$500)=$C$2)*(YEAR(Registres!C$2:C$500)=$E$2)*(TEXT(Registres!F$2:F$500,"0")=TEXT($A35,"0")))&gt;0,"✓",""),"")</f>
        <v/>
      </c>
      <c r="J35" s="17" t="str">
        <f aca="false">IF(7&lt;=DAY(EOMONTH(DATE($E$2,$C$2,1),0)),IF(SUMPRODUCT((DAY(Registres!C$2:C$500)=7)*(MONTH(Registres!C$2:C$500)=$C$2)*(YEAR(Registres!C$2:C$500)=$E$2)*(TEXT(Registres!F$2:F$500,"0")=TEXT($A35,"0")))&gt;0,"✓",""),"")</f>
        <v/>
      </c>
      <c r="K35" s="17" t="str">
        <f aca="false">IF(8&lt;=DAY(EOMONTH(DATE($E$2,$C$2,1),0)),IF(SUMPRODUCT((DAY(Registres!C$2:C$500)=8)*(MONTH(Registres!C$2:C$500)=$C$2)*(YEAR(Registres!C$2:C$500)=$E$2)*(TEXT(Registres!F$2:F$500,"0")=TEXT($A35,"0")))&gt;0,"✓",""),"")</f>
        <v/>
      </c>
      <c r="L35" s="17" t="str">
        <f aca="false">IF(9&lt;=DAY(EOMONTH(DATE($E$2,$C$2,1),0)),IF(SUMPRODUCT((DAY(Registres!C$2:C$500)=9)*(MONTH(Registres!C$2:C$500)=$C$2)*(YEAR(Registres!C$2:C$500)=$E$2)*(TEXT(Registres!F$2:F$500,"0")=TEXT($A35,"0")))&gt;0,"✓",""),"")</f>
        <v/>
      </c>
      <c r="M35" s="17" t="str">
        <f aca="false">IF(10&lt;=DAY(EOMONTH(DATE($E$2,$C$2,1),0)),IF(SUMPRODUCT((DAY(Registres!C$2:C$500)=10)*(MONTH(Registres!C$2:C$500)=$C$2)*(YEAR(Registres!C$2:C$500)=$E$2)*(TEXT(Registres!F$2:F$500,"0")=TEXT($A35,"0")))&gt;0,"✓",""),"")</f>
        <v/>
      </c>
      <c r="N35" s="17" t="str">
        <f aca="false">IF(11&lt;=DAY(EOMONTH(DATE($E$2,$C$2,1),0)),IF(SUMPRODUCT((DAY(Registres!C$2:C$500)=11)*(MONTH(Registres!C$2:C$500)=$C$2)*(YEAR(Registres!C$2:C$500)=$E$2)*(TEXT(Registres!F$2:F$500,"0")=TEXT($A35,"0")))&gt;0,"✓",""),"")</f>
        <v/>
      </c>
      <c r="O35" s="17" t="str">
        <f aca="false">IF(12&lt;=DAY(EOMONTH(DATE($E$2,$C$2,1),0)),IF(SUMPRODUCT((DAY(Registres!C$2:C$500)=12)*(MONTH(Registres!C$2:C$500)=$C$2)*(YEAR(Registres!C$2:C$500)=$E$2)*(TEXT(Registres!F$2:F$500,"0")=TEXT($A35,"0")))&gt;0,"✓",""),"")</f>
        <v/>
      </c>
      <c r="P35" s="17" t="str">
        <f aca="false">IF(13&lt;=DAY(EOMONTH(DATE($E$2,$C$2,1),0)),IF(SUMPRODUCT((DAY(Registres!C$2:C$500)=13)*(MONTH(Registres!C$2:C$500)=$C$2)*(YEAR(Registres!C$2:C$500)=$E$2)*(TEXT(Registres!F$2:F$500,"0")=TEXT($A35,"0")))&gt;0,"✓",""),"")</f>
        <v/>
      </c>
      <c r="Q35" s="17" t="str">
        <f aca="false">IF(14&lt;=DAY(EOMONTH(DATE($E$2,$C$2,1),0)),IF(SUMPRODUCT((DAY(Registres!C$2:C$500)=14)*(MONTH(Registres!C$2:C$500)=$C$2)*(YEAR(Registres!C$2:C$500)=$E$2)*(TEXT(Registres!F$2:F$500,"0")=TEXT($A35,"0")))&gt;0,"✓",""),"")</f>
        <v/>
      </c>
      <c r="R35" s="17" t="str">
        <f aca="false">IF(15&lt;=DAY(EOMONTH(DATE($E$2,$C$2,1),0)),IF(SUMPRODUCT((DAY(Registres!C$2:C$500)=15)*(MONTH(Registres!C$2:C$500)=$C$2)*(YEAR(Registres!C$2:C$500)=$E$2)*(TEXT(Registres!F$2:F$500,"0")=TEXT($A35,"0")))&gt;0,"✓",""),"")</f>
        <v/>
      </c>
      <c r="S35" s="17" t="str">
        <f aca="false">IF(16&lt;=DAY(EOMONTH(DATE($E$2,$C$2,1),0)),IF(SUMPRODUCT((DAY(Registres!C$2:C$500)=16)*(MONTH(Registres!C$2:C$500)=$C$2)*(YEAR(Registres!C$2:C$500)=$E$2)*(TEXT(Registres!F$2:F$500,"0")=TEXT($A35,"0")))&gt;0,"✓",""),"")</f>
        <v/>
      </c>
      <c r="T35" s="17" t="str">
        <f aca="false">IF(17&lt;=DAY(EOMONTH(DATE($E$2,$C$2,1),0)),IF(SUMPRODUCT((DAY(Registres!C$2:C$500)=17)*(MONTH(Registres!C$2:C$500)=$C$2)*(YEAR(Registres!C$2:C$500)=$E$2)*(TEXT(Registres!F$2:F$500,"0")=TEXT($A35,"0")))&gt;0,"✓",""),"")</f>
        <v/>
      </c>
      <c r="U35" s="17" t="str">
        <f aca="false">IF(18&lt;=DAY(EOMONTH(DATE($E$2,$C$2,1),0)),IF(SUMPRODUCT((DAY(Registres!C$2:C$500)=18)*(MONTH(Registres!C$2:C$500)=$C$2)*(YEAR(Registres!C$2:C$500)=$E$2)*(TEXT(Registres!F$2:F$500,"0")=TEXT($A35,"0")))&gt;0,"✓",""),"")</f>
        <v/>
      </c>
      <c r="V35" s="17" t="str">
        <f aca="false">IF(19&lt;=DAY(EOMONTH(DATE($E$2,$C$2,1),0)),IF(SUMPRODUCT((DAY(Registres!C$2:C$500)=19)*(MONTH(Registres!C$2:C$500)=$C$2)*(YEAR(Registres!C$2:C$500)=$E$2)*(TEXT(Registres!F$2:F$500,"0")=TEXT($A35,"0")))&gt;0,"✓",""),"")</f>
        <v/>
      </c>
      <c r="W35" s="17" t="str">
        <f aca="false">IF(20&lt;=DAY(EOMONTH(DATE($E$2,$C$2,1),0)),IF(SUMPRODUCT((DAY(Registres!C$2:C$500)=20)*(MONTH(Registres!C$2:C$500)=$C$2)*(YEAR(Registres!C$2:C$500)=$E$2)*(TEXT(Registres!F$2:F$500,"0")=TEXT($A35,"0")))&gt;0,"✓",""),"")</f>
        <v/>
      </c>
      <c r="X35" s="17" t="str">
        <f aca="false">IF(21&lt;=DAY(EOMONTH(DATE($E$2,$C$2,1),0)),IF(SUMPRODUCT((DAY(Registres!C$2:C$500)=21)*(MONTH(Registres!C$2:C$500)=$C$2)*(YEAR(Registres!C$2:C$500)=$E$2)*(TEXT(Registres!F$2:F$500,"0")=TEXT($A35,"0")))&gt;0,"✓",""),"")</f>
        <v/>
      </c>
      <c r="Y35" s="17" t="str">
        <f aca="false">IF(22&lt;=DAY(EOMONTH(DATE($E$2,$C$2,1),0)),IF(SUMPRODUCT((DAY(Registres!C$2:C$500)=22)*(MONTH(Registres!C$2:C$500)=$C$2)*(YEAR(Registres!C$2:C$500)=$E$2)*(TEXT(Registres!F$2:F$500,"0")=TEXT($A35,"0")))&gt;0,"✓",""),"")</f>
        <v/>
      </c>
      <c r="Z35" s="17" t="str">
        <f aca="false">IF(23&lt;=DAY(EOMONTH(DATE($E$2,$C$2,1),0)),IF(SUMPRODUCT((DAY(Registres!C$2:C$500)=23)*(MONTH(Registres!C$2:C$500)=$C$2)*(YEAR(Registres!C$2:C$500)=$E$2)*(TEXT(Registres!F$2:F$500,"0")=TEXT($A35,"0")))&gt;0,"✓",""),"")</f>
        <v/>
      </c>
      <c r="AA35" s="17" t="str">
        <f aca="false">IF(24&lt;=DAY(EOMONTH(DATE($E$2,$C$2,1),0)),IF(SUMPRODUCT((DAY(Registres!C$2:C$500)=24)*(MONTH(Registres!C$2:C$500)=$C$2)*(YEAR(Registres!C$2:C$500)=$E$2)*(TEXT(Registres!F$2:F$500,"0")=TEXT($A35,"0")))&gt;0,"✓",""),"")</f>
        <v/>
      </c>
      <c r="AB35" s="17" t="str">
        <f aca="false">IF(25&lt;=DAY(EOMONTH(DATE($E$2,$C$2,1),0)),IF(SUMPRODUCT((DAY(Registres!C$2:C$500)=25)*(MONTH(Registres!C$2:C$500)=$C$2)*(YEAR(Registres!C$2:C$500)=$E$2)*(TEXT(Registres!F$2:F$500,"0")=TEXT($A35,"0")))&gt;0,"✓",""),"")</f>
        <v/>
      </c>
      <c r="AC35" s="17" t="str">
        <f aca="false">IF(26&lt;=DAY(EOMONTH(DATE($E$2,$C$2,1),0)),IF(SUMPRODUCT((DAY(Registres!C$2:C$500)=26)*(MONTH(Registres!C$2:C$500)=$C$2)*(YEAR(Registres!C$2:C$500)=$E$2)*(TEXT(Registres!F$2:F$500,"0")=TEXT($A35,"0")))&gt;0,"✓",""),"")</f>
        <v/>
      </c>
      <c r="AD35" s="17" t="str">
        <f aca="false">IF(27&lt;=DAY(EOMONTH(DATE($E$2,$C$2,1),0)),IF(SUMPRODUCT((DAY(Registres!C$2:C$500)=27)*(MONTH(Registres!C$2:C$500)=$C$2)*(YEAR(Registres!C$2:C$500)=$E$2)*(TEXT(Registres!F$2:F$500,"0")=TEXT($A35,"0")))&gt;0,"✓",""),"")</f>
        <v/>
      </c>
      <c r="AE35" s="17" t="str">
        <f aca="false">IF(28&lt;=DAY(EOMONTH(DATE($E$2,$C$2,1),0)),IF(SUMPRODUCT((DAY(Registres!C$2:C$500)=28)*(MONTH(Registres!C$2:C$500)=$C$2)*(YEAR(Registres!C$2:C$500)=$E$2)*(TEXT(Registres!F$2:F$500,"0")=TEXT($A35,"0")))&gt;0,"✓",""),"")</f>
        <v/>
      </c>
      <c r="AF35" s="17" t="str">
        <f aca="false">IF(29&lt;=DAY(EOMONTH(DATE($E$2,$C$2,1),0)),IF(SUMPRODUCT((DAY(Registres!C$2:C$500)=29)*(MONTH(Registres!C$2:C$500)=$C$2)*(YEAR(Registres!C$2:C$500)=$E$2)*(TEXT(Registres!F$2:F$500,"0")=TEXT($A35,"0")))&gt;0,"✓",""),"")</f>
        <v/>
      </c>
      <c r="AG35" s="17" t="str">
        <f aca="false">IF(30&lt;=DAY(EOMONTH(DATE($E$2,$C$2,1),0)),IF(SUMPRODUCT((DAY(Registres!C$2:C$500)=30)*(MONTH(Registres!C$2:C$500)=$C$2)*(YEAR(Registres!C$2:C$500)=$E$2)*(TEXT(Registres!F$2:F$500,"0")=TEXT($A35,"0")))&gt;0,"✓",""),"")</f>
        <v/>
      </c>
      <c r="AH35" s="17" t="str">
        <f aca="false">IF(31&lt;=DAY(EOMONTH(DATE($E$2,$C$2,1),0)),IF(SUMPRODUCT((DAY(Registres!C$2:C$500)=31)*(MONTH(Registres!C$2:C$500)=$C$2)*(YEAR(Registres!C$2:C$500)=$E$2)*(TEXT(Registres!F$2:F$500,"0")=TEXT($A35,"0")))&gt;0,"✓",""),"")</f>
        <v/>
      </c>
      <c r="AI35" s="18" t="n">
        <f aca="false">COUNTIF(D35:AH35,"✓")</f>
        <v>0</v>
      </c>
    </row>
    <row r="36" customFormat="false" ht="15" hidden="false" customHeight="false" outlineLevel="0" collapsed="false">
      <c r="A36" s="22"/>
      <c r="B36" s="23" t="s">
        <v>147</v>
      </c>
      <c r="C36" s="22"/>
      <c r="D36" s="24" t="n">
        <f aca="false">COUNTIF(D5:D35,"✓")</f>
        <v>0</v>
      </c>
      <c r="E36" s="24" t="n">
        <f aca="false">COUNTIF(E5:E35,"✓")</f>
        <v>0</v>
      </c>
      <c r="F36" s="24" t="n">
        <f aca="false">COUNTIF(F5:F35,"✓")</f>
        <v>0</v>
      </c>
      <c r="G36" s="24" t="n">
        <f aca="false">COUNTIF(G5:G35,"✓")</f>
        <v>0</v>
      </c>
      <c r="H36" s="24" t="n">
        <f aca="false">COUNTIF(H5:H35,"✓")</f>
        <v>0</v>
      </c>
      <c r="I36" s="24" t="n">
        <f aca="false">COUNTIF(I5:I35,"✓")</f>
        <v>0</v>
      </c>
      <c r="J36" s="24" t="n">
        <f aca="false">COUNTIF(J5:J35,"✓")</f>
        <v>0</v>
      </c>
      <c r="K36" s="24" t="n">
        <f aca="false">COUNTIF(K5:K35,"✓")</f>
        <v>0</v>
      </c>
      <c r="L36" s="24" t="n">
        <f aca="false">COUNTIF(L5:L35,"✓")</f>
        <v>0</v>
      </c>
      <c r="M36" s="24" t="n">
        <f aca="false">COUNTIF(M5:M35,"✓")</f>
        <v>0</v>
      </c>
      <c r="N36" s="24" t="n">
        <f aca="false">COUNTIF(N5:N35,"✓")</f>
        <v>0</v>
      </c>
      <c r="O36" s="24" t="n">
        <f aca="false">COUNTIF(O5:O35,"✓")</f>
        <v>0</v>
      </c>
      <c r="P36" s="24" t="n">
        <f aca="false">COUNTIF(P5:P35,"✓")</f>
        <v>0</v>
      </c>
      <c r="Q36" s="24" t="n">
        <f aca="false">COUNTIF(Q5:Q35,"✓")</f>
        <v>0</v>
      </c>
      <c r="R36" s="24" t="n">
        <f aca="false">COUNTIF(R5:R35,"✓")</f>
        <v>0</v>
      </c>
      <c r="S36" s="24" t="n">
        <f aca="false">COUNTIF(S5:S35,"✓")</f>
        <v>0</v>
      </c>
      <c r="T36" s="24" t="n">
        <f aca="false">COUNTIF(T5:T35,"✓")</f>
        <v>0</v>
      </c>
      <c r="U36" s="24" t="n">
        <f aca="false">COUNTIF(U5:U35,"✓")</f>
        <v>0</v>
      </c>
      <c r="V36" s="24" t="n">
        <f aca="false">COUNTIF(V5:V35,"✓")</f>
        <v>0</v>
      </c>
      <c r="W36" s="24" t="n">
        <f aca="false">COUNTIF(W5:W35,"✓")</f>
        <v>0</v>
      </c>
      <c r="X36" s="24" t="n">
        <f aca="false">COUNTIF(X5:X35,"✓")</f>
        <v>0</v>
      </c>
      <c r="Y36" s="24" t="n">
        <f aca="false">COUNTIF(Y5:Y35,"✓")</f>
        <v>0</v>
      </c>
      <c r="Z36" s="24" t="n">
        <f aca="false">COUNTIF(Z5:Z35,"✓")</f>
        <v>0</v>
      </c>
      <c r="AA36" s="24" t="n">
        <f aca="false">COUNTIF(AA5:AA35,"✓")</f>
        <v>0</v>
      </c>
      <c r="AB36" s="24" t="n">
        <f aca="false">COUNTIF(AB5:AB35,"✓")</f>
        <v>0</v>
      </c>
      <c r="AC36" s="24" t="n">
        <f aca="false">COUNTIF(AC5:AC35,"✓")</f>
        <v>0</v>
      </c>
      <c r="AD36" s="24" t="n">
        <f aca="false">COUNTIF(AD5:AD35,"✓")</f>
        <v>0</v>
      </c>
      <c r="AE36" s="24" t="n">
        <f aca="false">COUNTIF(AE5:AE35,"✓")</f>
        <v>0</v>
      </c>
      <c r="AF36" s="24" t="n">
        <f aca="false">COUNTIF(AF5:AF35,"✓")</f>
        <v>0</v>
      </c>
      <c r="AG36" s="24" t="n">
        <f aca="false">COUNTIF(AG5:AG35,"✓")</f>
        <v>0</v>
      </c>
      <c r="AH36" s="24" t="n">
        <f aca="false">COUNTIF(AH5:AH35,"✓")</f>
        <v>0</v>
      </c>
      <c r="AI36" s="25" t="n">
        <f aca="false">SUM(AI5:AI35)</f>
        <v>0</v>
      </c>
    </row>
  </sheetData>
  <mergeCells count="1">
    <mergeCell ref="A1:A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6"/>
    <col collapsed="false" customWidth="true" hidden="false" outlineLevel="0" max="3" min="3" style="1" width="50"/>
  </cols>
  <sheetData>
    <row r="1" customFormat="false" ht="15" hidden="false" customHeight="true" outlineLevel="0" collapsed="false">
      <c r="A1" s="26" t="s">
        <v>148</v>
      </c>
      <c r="B1" s="2" t="s">
        <v>149</v>
      </c>
      <c r="C1" s="26" t="s">
        <v>150</v>
      </c>
    </row>
    <row r="2" customFormat="false" ht="15" hidden="false" customHeight="true" outlineLevel="0" collapsed="false">
      <c r="A2" s="4" t="s">
        <v>151</v>
      </c>
      <c r="B2" s="3" t="s">
        <v>152</v>
      </c>
      <c r="C2" s="4" t="s">
        <v>153</v>
      </c>
    </row>
    <row r="3" customFormat="false" ht="15" hidden="false" customHeight="true" outlineLevel="0" collapsed="false">
      <c r="A3" s="4" t="s">
        <v>154</v>
      </c>
      <c r="B3" s="3" t="s">
        <v>155</v>
      </c>
      <c r="C3" s="4" t="s">
        <v>156</v>
      </c>
    </row>
    <row r="4" customFormat="false" ht="15" hidden="false" customHeight="true" outlineLevel="0" collapsed="false">
      <c r="A4" s="4" t="s">
        <v>157</v>
      </c>
      <c r="B4" s="3" t="s">
        <v>158</v>
      </c>
      <c r="C4" s="4" t="s">
        <v>159</v>
      </c>
    </row>
    <row r="5" customFormat="false" ht="15" hidden="false" customHeight="true" outlineLevel="0" collapsed="false">
      <c r="A5" s="4" t="s">
        <v>160</v>
      </c>
      <c r="B5" s="3" t="s">
        <v>161</v>
      </c>
      <c r="C5" s="4" t="s">
        <v>162</v>
      </c>
    </row>
    <row r="6" customFormat="false" ht="15" hidden="false" customHeight="true" outlineLevel="0" collapsed="false">
      <c r="A6" s="4" t="s">
        <v>163</v>
      </c>
      <c r="B6" s="3" t="s">
        <v>164</v>
      </c>
      <c r="C6" s="4" t="s">
        <v>165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2026-03-07T11:49:42Z</dcterms:created>
  <dc:creator>openpyxl</dc:creator>
  <dc:description/>
  <dc:language>en-US</dc:language>
  <cp:lastModifiedBy/>
  <dcterms:modified xsi:type="dcterms:W3CDTF">2026-03-09T09:44:36Z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